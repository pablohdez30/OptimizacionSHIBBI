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/>
  <mc:AlternateContent xmlns:mc="http://schemas.openxmlformats.org/markup-compatibility/2006">
    <mc:Choice Requires="x15">
      <x15ac:absPath xmlns:x15ac="http://schemas.microsoft.com/office/spreadsheetml/2010/11/ac" url="D:\CAESPAN 2026\FACTURAS\"/>
    </mc:Choice>
  </mc:AlternateContent>
  <xr:revisionPtr revIDLastSave="0" documentId="13_ncr:1_{FEF829C8-B012-4957-A83B-CBFB8D6924A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Hoja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7" i="1" l="1"/>
  <c r="G15" i="1"/>
  <c r="G11" i="1"/>
  <c r="G25" i="1" s="1"/>
  <c r="G26" i="1" l="1"/>
  <c r="G27" i="1" l="1"/>
</calcChain>
</file>

<file path=xl/sharedStrings.xml><?xml version="1.0" encoding="utf-8"?>
<sst xmlns="http://schemas.openxmlformats.org/spreadsheetml/2006/main" count="25" uniqueCount="25">
  <si>
    <t>CAESPAN ARGUMENT S.L.</t>
  </si>
  <si>
    <t>Camino de Malatones Nº 54.</t>
  </si>
  <si>
    <t>28140 Fuente El Saz. Madrid</t>
  </si>
  <si>
    <t>B-86423472</t>
  </si>
  <si>
    <t>FECHA:</t>
  </si>
  <si>
    <t>CLIENTE:</t>
  </si>
  <si>
    <t>DIRECCIÓN:</t>
  </si>
  <si>
    <t>C.I.F./N.I.F:</t>
  </si>
  <si>
    <t>Total Base</t>
  </si>
  <si>
    <t>I.V.A 21%</t>
  </si>
  <si>
    <t>TOTAL</t>
  </si>
  <si>
    <t>B84330984</t>
  </si>
  <si>
    <t>Pago mediante transferencia bancaria: CC: ES09-0128-1016-8201-0001-6176</t>
  </si>
  <si>
    <t>Unidades</t>
  </si>
  <si>
    <t>PX</t>
  </si>
  <si>
    <t>Total</t>
  </si>
  <si>
    <t>Cerramiento Pista Paddle</t>
  </si>
  <si>
    <t>ICR Obras y consultoría S.L.</t>
  </si>
  <si>
    <t>C/ Rafael Herrera 11.28036 Madrid</t>
  </si>
  <si>
    <t>B83074799</t>
  </si>
  <si>
    <t>26-025</t>
  </si>
  <si>
    <r>
      <t xml:space="preserve">FACTURA  Nº: </t>
    </r>
    <r>
      <rPr>
        <sz val="12"/>
        <color theme="1"/>
        <rFont val="Times New Roman"/>
        <family val="1"/>
      </rPr>
      <t xml:space="preserve"> </t>
    </r>
  </si>
  <si>
    <t>Barra 335*15</t>
  </si>
  <si>
    <t>Barra  550*22</t>
  </si>
  <si>
    <t>Adelanto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</si>
</sst>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€&quot;;\-#,##0.00\ &quot;€&quot;"/>
    <numFmt numFmtId="164" formatCode="_-[$€-2]\ * #,##0.00_-;\-[$€-2]\ * #,##0.00_-;_-[$€-2]\ * &quot;-&quot;??_-;_-@_-"/>
    <numFmt numFmtId="165" formatCode="#,##0.00\ &quot;€&quot;"/>
    <numFmt numFmtId="166" formatCode="[$€-2]\ #,##0.00;\-[$€-2]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0" applyFont="1" applyAlignment="1">
      <alignment vertical="center"/>
    </xf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4" xfId="0" applyBorder="1"/>
    <xf numFmtId="7" fontId="0" fillId="0" borderId="5" xfId="0" applyNumberFormat="1" applyBorder="1"/>
    <xf numFmtId="0" fontId="1" fillId="0" borderId="6" xfId="0" applyFont="1" applyBorder="1"/>
    <xf numFmtId="7" fontId="0" fillId="0" borderId="8" xfId="0" applyNumberFormat="1" applyBorder="1"/>
    <xf numFmtId="165" fontId="2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7" fillId="0" borderId="0" xfId="0" applyFont="1" applyAlignment="1">
      <alignment horizontal="center"/>
    </xf>
    <xf numFmtId="7" fontId="0" fillId="0" borderId="3" xfId="0" applyNumberFormat="1" applyBorder="1"/>
    <xf numFmtId="165" fontId="9" fillId="0" borderId="0" xfId="0" applyNumberFormat="1" applyFont="1"/>
    <xf numFmtId="165" fontId="0" fillId="2" borderId="0" xfId="0" applyNumberFormat="1" applyFill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2" xfId="0" applyNumberFormat="1" applyBorder="1"/>
    <xf numFmtId="165" fontId="0" fillId="0" borderId="7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/>
    <xf numFmtId="164" fontId="10" fillId="0" borderId="0" xfId="0" applyNumberFormat="1" applyFont="1"/>
    <xf numFmtId="0" fontId="1" fillId="0" borderId="0" xfId="0" applyFont="1" applyBorder="1"/>
    <xf numFmtId="165" fontId="0" fillId="0" borderId="0" xfId="0" applyNumberFormat="1" applyBorder="1"/>
    <xf numFmtId="7" fontId="0" fillId="0" borderId="0" xfId="0" applyNumberFormat="1" applyBorder="1"/>
  </cellXfs>
  <cellStyles count="2">
    <cellStyle name="Hipervínculo visitado" xfId="1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1</xdr:col>
      <xdr:colOff>9525</xdr:colOff>
      <xdr:row>1</xdr:row>
      <xdr:rowOff>146315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1914525" cy="336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C16" sqref="C16"/>
    </sheetView>
  </sheetViews>
  <sheetFormatPr baseColWidth="10" defaultRowHeight="15" x14ac:dyDescent="0.25"/>
  <cols>
    <col min="1" max="1" width="29.7109375" customWidth="1"/>
    <col min="3" max="3" width="14.5703125" customWidth="1"/>
    <col min="4" max="4" width="8.5703125" customWidth="1"/>
    <col min="5" max="5" width="11.5703125" style="21" customWidth="1"/>
    <col min="6" max="6" width="9.7109375" style="21" customWidth="1"/>
    <col min="7" max="7" width="15.140625" style="3" customWidth="1"/>
  </cols>
  <sheetData>
    <row r="1" spans="1:7" ht="19.5" x14ac:dyDescent="0.3">
      <c r="E1" s="6" t="s">
        <v>0</v>
      </c>
      <c r="F1" s="18"/>
    </row>
    <row r="2" spans="1:7" ht="15.75" x14ac:dyDescent="0.25">
      <c r="E2" s="6" t="s">
        <v>1</v>
      </c>
      <c r="F2" s="13"/>
    </row>
    <row r="3" spans="1:7" ht="15.75" x14ac:dyDescent="0.25">
      <c r="A3" s="1" t="s">
        <v>21</v>
      </c>
      <c r="B3" s="6" t="s">
        <v>20</v>
      </c>
      <c r="E3" s="6" t="s">
        <v>2</v>
      </c>
      <c r="F3" s="13"/>
      <c r="G3" s="1"/>
    </row>
    <row r="4" spans="1:7" ht="15.75" x14ac:dyDescent="0.25">
      <c r="A4" t="s">
        <v>4</v>
      </c>
      <c r="B4" s="5">
        <v>46096</v>
      </c>
      <c r="E4" s="6" t="s">
        <v>3</v>
      </c>
      <c r="F4" s="13"/>
      <c r="G4" s="7"/>
    </row>
    <row r="5" spans="1:7" ht="15.75" x14ac:dyDescent="0.25">
      <c r="A5" t="s">
        <v>5</v>
      </c>
      <c r="B5" s="1" t="s">
        <v>17</v>
      </c>
      <c r="E5" s="6"/>
      <c r="F5"/>
      <c r="G5"/>
    </row>
    <row r="6" spans="1:7" ht="15.75" x14ac:dyDescent="0.25">
      <c r="A6" t="s">
        <v>6</v>
      </c>
      <c r="B6" s="7" t="s">
        <v>18</v>
      </c>
      <c r="E6"/>
      <c r="F6"/>
      <c r="G6"/>
    </row>
    <row r="7" spans="1:7" x14ac:dyDescent="0.25">
      <c r="A7" t="s">
        <v>7</v>
      </c>
      <c r="B7" s="5" t="s">
        <v>19</v>
      </c>
      <c r="E7"/>
      <c r="F7"/>
      <c r="G7"/>
    </row>
    <row r="8" spans="1:7" ht="6" customHeight="1" x14ac:dyDescent="0.25">
      <c r="A8" s="2"/>
      <c r="B8" s="2" t="s">
        <v>11</v>
      </c>
      <c r="C8" s="2"/>
      <c r="D8" s="2"/>
      <c r="E8" s="19"/>
      <c r="F8" s="19"/>
      <c r="G8" s="4"/>
    </row>
    <row r="9" spans="1:7" ht="23.25" x14ac:dyDescent="0.35">
      <c r="A9" s="14"/>
      <c r="E9" s="20" t="s">
        <v>13</v>
      </c>
      <c r="F9" s="24" t="s">
        <v>14</v>
      </c>
      <c r="G9" s="26" t="s">
        <v>15</v>
      </c>
    </row>
    <row r="10" spans="1:7" x14ac:dyDescent="0.25">
      <c r="E10" s="16"/>
      <c r="F10" s="25"/>
      <c r="G10" s="25"/>
    </row>
    <row r="11" spans="1:7" x14ac:dyDescent="0.25">
      <c r="A11" t="s">
        <v>16</v>
      </c>
      <c r="E11">
        <v>2</v>
      </c>
      <c r="F11" s="21">
        <v>4450</v>
      </c>
      <c r="G11" s="21">
        <f>(F11*E11)</f>
        <v>8900</v>
      </c>
    </row>
    <row r="12" spans="1:7" x14ac:dyDescent="0.25">
      <c r="E12"/>
      <c r="G12" s="21"/>
    </row>
    <row r="13" spans="1:7" x14ac:dyDescent="0.25">
      <c r="E13"/>
      <c r="G13" s="21"/>
    </row>
    <row r="14" spans="1:7" x14ac:dyDescent="0.25">
      <c r="E14"/>
      <c r="G14" s="21"/>
    </row>
    <row r="15" spans="1:7" x14ac:dyDescent="0.25">
      <c r="A15" t="s">
        <v>22</v>
      </c>
      <c r="E15">
        <v>1</v>
      </c>
      <c r="F15" s="21">
        <v>220</v>
      </c>
      <c r="G15" s="21">
        <f>(F15*E15)</f>
        <v>220</v>
      </c>
    </row>
    <row r="16" spans="1:7" x14ac:dyDescent="0.25">
      <c r="E16"/>
      <c r="G16" s="21"/>
    </row>
    <row r="17" spans="1:7" x14ac:dyDescent="0.25">
      <c r="A17" t="s">
        <v>23</v>
      </c>
      <c r="E17">
        <v>1</v>
      </c>
      <c r="F17" s="21">
        <v>310</v>
      </c>
      <c r="G17" s="21">
        <f>(F17*E17)</f>
        <v>310</v>
      </c>
    </row>
    <row r="18" spans="1:7" x14ac:dyDescent="0.25">
      <c r="E18" s="16"/>
      <c r="F18" s="15"/>
    </row>
    <row r="21" spans="1:7" x14ac:dyDescent="0.25">
      <c r="C21" t="s">
        <v>24</v>
      </c>
      <c r="G21" s="21">
        <v>-4132.2299999999996</v>
      </c>
    </row>
    <row r="25" spans="1:7" x14ac:dyDescent="0.25">
      <c r="D25" s="8" t="s">
        <v>8</v>
      </c>
      <c r="E25" s="22"/>
      <c r="F25" s="22"/>
      <c r="G25" s="17">
        <f>SUM(G10:G23)</f>
        <v>5297.77</v>
      </c>
    </row>
    <row r="26" spans="1:7" x14ac:dyDescent="0.25">
      <c r="D26" s="9" t="s">
        <v>9</v>
      </c>
      <c r="G26" s="10">
        <f>(G25*21%)</f>
        <v>1112.5317</v>
      </c>
    </row>
    <row r="27" spans="1:7" x14ac:dyDescent="0.25">
      <c r="D27" s="11" t="s">
        <v>10</v>
      </c>
      <c r="E27" s="23"/>
      <c r="F27" s="23"/>
      <c r="G27" s="12">
        <f>SUM(G25:G26)</f>
        <v>6410.3017</v>
      </c>
    </row>
    <row r="28" spans="1:7" x14ac:dyDescent="0.25">
      <c r="D28" s="27"/>
      <c r="E28" s="28"/>
      <c r="F28" s="28"/>
      <c r="G28" s="29"/>
    </row>
    <row r="29" spans="1:7" x14ac:dyDescent="0.25">
      <c r="D29" s="27"/>
      <c r="E29" s="28"/>
      <c r="F29" s="28"/>
      <c r="G29" s="29"/>
    </row>
    <row r="30" spans="1:7" x14ac:dyDescent="0.25">
      <c r="D30" s="27"/>
      <c r="E30" s="28"/>
      <c r="F30" s="28"/>
      <c r="G30" s="29"/>
    </row>
    <row r="31" spans="1:7" ht="15.75" x14ac:dyDescent="0.25">
      <c r="A31" s="1" t="s">
        <v>12</v>
      </c>
    </row>
    <row r="32" spans="1:7" ht="15.75" x14ac:dyDescent="0.25">
      <c r="A32" s="1"/>
    </row>
  </sheetData>
  <phoneticPr fontId="5" type="noConversion"/>
  <pageMargins left="0.10944881889763781" right="0.10944881889763781" top="0.75000000000000011" bottom="0.75000000000000011" header="0.30000000000000004" footer="0.3000000000000000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hernandez</dc:creator>
  <cp:lastModifiedBy>CAESPAN ARGUMENT SL</cp:lastModifiedBy>
  <cp:lastPrinted>2026-03-15T17:26:39Z</cp:lastPrinted>
  <dcterms:created xsi:type="dcterms:W3CDTF">2017-10-11T11:23:08Z</dcterms:created>
  <dcterms:modified xsi:type="dcterms:W3CDTF">2026-03-15T17:31:48Z</dcterms:modified>
</cp:coreProperties>
</file>