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D:\CAESPAN 2026\PROVEEDORES\"/>
    </mc:Choice>
  </mc:AlternateContent>
  <xr:revisionPtr revIDLastSave="0" documentId="8_{4A348A36-78DF-4963-9CAB-E507EA643913}" xr6:coauthVersionLast="47" xr6:coauthVersionMax="47" xr10:uidLastSave="{00000000-0000-0000-0000-000000000000}"/>
  <bookViews>
    <workbookView xWindow="-120" yWindow="-120" windowWidth="29040" windowHeight="15225" xr2:uid="{9672B043-08E0-4368-BA61-B5C4283C08C8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J288" i="1" l="1"/>
  <c r="F288" i="1" s="1"/>
  <c r="J287" i="1"/>
  <c r="F287" i="1" s="1"/>
  <c r="J286" i="1"/>
  <c r="F286" i="1" s="1"/>
  <c r="J285" i="1"/>
  <c r="F285" i="1" s="1"/>
  <c r="J284" i="1"/>
  <c r="F284" i="1" s="1"/>
  <c r="J283" i="1"/>
  <c r="F283" i="1" s="1"/>
  <c r="J282" i="1"/>
  <c r="F282" i="1" s="1"/>
  <c r="J281" i="1"/>
  <c r="F281" i="1" s="1"/>
  <c r="J280" i="1"/>
  <c r="F280" i="1" s="1"/>
  <c r="J279" i="1"/>
  <c r="F279" i="1" s="1"/>
  <c r="J278" i="1"/>
  <c r="F278" i="1" s="1"/>
  <c r="J277" i="1"/>
  <c r="F277" i="1" s="1"/>
  <c r="J276" i="1"/>
  <c r="F276" i="1" s="1"/>
  <c r="J275" i="1"/>
  <c r="F275" i="1" s="1"/>
  <c r="J274" i="1"/>
  <c r="F274" i="1" s="1"/>
  <c r="J273" i="1"/>
  <c r="F273" i="1" s="1"/>
  <c r="J272" i="1"/>
  <c r="F272" i="1" s="1"/>
  <c r="J271" i="1"/>
  <c r="F271" i="1" s="1"/>
  <c r="J270" i="1"/>
  <c r="F270" i="1" s="1"/>
  <c r="J221" i="1"/>
  <c r="F221" i="1" s="1"/>
  <c r="H220" i="1"/>
  <c r="H219" i="1"/>
  <c r="J217" i="1"/>
  <c r="F217" i="1" s="1"/>
  <c r="J216" i="1"/>
  <c r="F216" i="1" s="1"/>
  <c r="J211" i="1"/>
  <c r="F211" i="1" s="1"/>
  <c r="J209" i="1"/>
  <c r="F209" i="1" s="1"/>
  <c r="J205" i="1"/>
  <c r="J204" i="1"/>
  <c r="J202" i="1"/>
  <c r="J201" i="1"/>
  <c r="J200" i="1"/>
  <c r="F200" i="1" s="1"/>
  <c r="J199" i="1"/>
  <c r="F199" i="1" s="1"/>
  <c r="J198" i="1"/>
  <c r="F198" i="1" s="1"/>
  <c r="J197" i="1"/>
  <c r="F197" i="1" s="1"/>
  <c r="J196" i="1"/>
  <c r="F196" i="1" s="1"/>
  <c r="J195" i="1"/>
  <c r="F195" i="1" s="1"/>
  <c r="J194" i="1"/>
  <c r="F194" i="1" s="1"/>
  <c r="J192" i="1"/>
  <c r="F192" i="1" s="1"/>
  <c r="J191" i="1"/>
  <c r="F191" i="1" s="1"/>
  <c r="J190" i="1"/>
  <c r="F190" i="1" s="1"/>
  <c r="J189" i="1"/>
  <c r="F189" i="1" s="1"/>
  <c r="J187" i="1"/>
  <c r="F187" i="1" s="1"/>
  <c r="J186" i="1"/>
  <c r="F186" i="1" s="1"/>
  <c r="J185" i="1"/>
  <c r="F185" i="1" s="1"/>
  <c r="J183" i="1"/>
  <c r="F183" i="1" s="1"/>
  <c r="J182" i="1"/>
  <c r="F182" i="1" s="1"/>
  <c r="G181" i="1"/>
  <c r="J181" i="1" s="1"/>
  <c r="F181" i="1" s="1"/>
  <c r="J180" i="1"/>
  <c r="F180" i="1" s="1"/>
  <c r="J175" i="1"/>
  <c r="F175" i="1" s="1"/>
  <c r="J174" i="1"/>
  <c r="F174" i="1" s="1"/>
  <c r="J173" i="1"/>
  <c r="F173" i="1" s="1"/>
  <c r="J172" i="1"/>
  <c r="F172" i="1" s="1"/>
  <c r="J171" i="1"/>
  <c r="F171" i="1" s="1"/>
  <c r="J170" i="1"/>
  <c r="F170" i="1" s="1"/>
  <c r="J169" i="1"/>
  <c r="F169" i="1" s="1"/>
  <c r="J168" i="1"/>
  <c r="F168" i="1" s="1"/>
  <c r="P166" i="1"/>
  <c r="P165" i="1"/>
  <c r="J165" i="1"/>
  <c r="F165" i="1" s="1"/>
  <c r="P164" i="1"/>
  <c r="J164" i="1"/>
  <c r="F164" i="1" s="1"/>
  <c r="J163" i="1"/>
  <c r="F163" i="1" s="1"/>
  <c r="J162" i="1"/>
  <c r="F162" i="1" s="1"/>
  <c r="J161" i="1"/>
  <c r="F161" i="1" s="1"/>
  <c r="J160" i="1"/>
  <c r="F160" i="1" s="1"/>
  <c r="J159" i="1"/>
  <c r="F159" i="1" s="1"/>
  <c r="J158" i="1"/>
  <c r="F158" i="1" s="1"/>
  <c r="J157" i="1"/>
  <c r="F157" i="1" s="1"/>
  <c r="J156" i="1"/>
  <c r="F156" i="1" s="1"/>
  <c r="J155" i="1"/>
  <c r="F155" i="1" s="1"/>
  <c r="J154" i="1"/>
  <c r="F154" i="1" s="1"/>
  <c r="J153" i="1"/>
  <c r="F153" i="1" s="1"/>
  <c r="J152" i="1"/>
  <c r="F152" i="1" s="1"/>
  <c r="J151" i="1"/>
  <c r="F151" i="1" s="1"/>
  <c r="J150" i="1"/>
  <c r="F150" i="1" s="1"/>
  <c r="J149" i="1"/>
  <c r="F149" i="1" s="1"/>
  <c r="J147" i="1"/>
  <c r="F147" i="1" s="1"/>
  <c r="J144" i="1"/>
  <c r="F144" i="1" s="1"/>
  <c r="J143" i="1"/>
  <c r="F143" i="1" s="1"/>
  <c r="J142" i="1"/>
  <c r="F142" i="1" s="1"/>
  <c r="J141" i="1"/>
  <c r="F141" i="1" s="1"/>
  <c r="J140" i="1"/>
  <c r="F140" i="1" s="1"/>
  <c r="J139" i="1"/>
  <c r="F139" i="1" s="1"/>
  <c r="J138" i="1"/>
  <c r="F138" i="1" s="1"/>
  <c r="J137" i="1"/>
  <c r="F137" i="1" s="1"/>
  <c r="J136" i="1"/>
  <c r="F136" i="1" s="1"/>
  <c r="J135" i="1"/>
  <c r="F135" i="1" s="1"/>
  <c r="J134" i="1"/>
  <c r="F134" i="1" s="1"/>
  <c r="J133" i="1"/>
  <c r="F133" i="1"/>
  <c r="J132" i="1"/>
  <c r="F132" i="1" s="1"/>
  <c r="J131" i="1"/>
  <c r="F131" i="1" s="1"/>
  <c r="J130" i="1"/>
  <c r="F130" i="1" s="1"/>
  <c r="J129" i="1"/>
  <c r="F129" i="1" s="1"/>
  <c r="J128" i="1"/>
  <c r="F128" i="1" s="1"/>
  <c r="J125" i="1"/>
  <c r="J124" i="1"/>
  <c r="F124" i="1" s="1"/>
  <c r="J123" i="1"/>
  <c r="F123" i="1" s="1"/>
  <c r="J122" i="1"/>
  <c r="F122" i="1" s="1"/>
  <c r="J121" i="1"/>
  <c r="F121" i="1" s="1"/>
  <c r="J120" i="1"/>
  <c r="F120" i="1" s="1"/>
  <c r="J119" i="1"/>
  <c r="F119" i="1" s="1"/>
  <c r="J118" i="1"/>
  <c r="F118" i="1" s="1"/>
  <c r="J117" i="1"/>
  <c r="F117" i="1" s="1"/>
  <c r="J116" i="1"/>
  <c r="F116" i="1" s="1"/>
  <c r="J115" i="1"/>
  <c r="F115" i="1" s="1"/>
  <c r="J114" i="1"/>
  <c r="F114" i="1" s="1"/>
  <c r="J113" i="1"/>
  <c r="F113" i="1" s="1"/>
  <c r="J112" i="1"/>
  <c r="F112" i="1" s="1"/>
  <c r="J111" i="1"/>
  <c r="F111" i="1" s="1"/>
  <c r="J110" i="1"/>
  <c r="F110" i="1" s="1"/>
  <c r="J109" i="1"/>
  <c r="J108" i="1"/>
  <c r="J107" i="1"/>
  <c r="F107" i="1" s="1"/>
  <c r="J106" i="1"/>
  <c r="F106" i="1" s="1"/>
  <c r="J105" i="1"/>
  <c r="F105" i="1" s="1"/>
  <c r="J104" i="1"/>
  <c r="F104" i="1" s="1"/>
  <c r="J103" i="1"/>
  <c r="F103" i="1" s="1"/>
  <c r="J102" i="1"/>
  <c r="F102" i="1"/>
  <c r="J101" i="1"/>
  <c r="F101" i="1"/>
  <c r="J100" i="1"/>
  <c r="F100" i="1"/>
  <c r="J99" i="1"/>
  <c r="F99" i="1"/>
  <c r="J98" i="1"/>
  <c r="F98" i="1"/>
  <c r="J97" i="1"/>
  <c r="F97" i="1"/>
  <c r="J96" i="1"/>
  <c r="F96" i="1"/>
  <c r="J95" i="1"/>
  <c r="F95" i="1"/>
  <c r="J94" i="1"/>
  <c r="K94" i="1" s="1"/>
  <c r="F94" i="1"/>
  <c r="J92" i="1"/>
  <c r="F92" i="1"/>
  <c r="J91" i="1"/>
  <c r="F91" i="1"/>
  <c r="J90" i="1"/>
  <c r="F90" i="1"/>
  <c r="J89" i="1"/>
  <c r="F89" i="1"/>
  <c r="J88" i="1"/>
  <c r="F88" i="1"/>
  <c r="J87" i="1"/>
  <c r="F87" i="1" s="1"/>
  <c r="J86" i="1"/>
  <c r="F86" i="1" s="1"/>
  <c r="J85" i="1"/>
  <c r="F85" i="1" s="1"/>
  <c r="Q84" i="1"/>
  <c r="J84" i="1"/>
  <c r="F84" i="1"/>
  <c r="J83" i="1"/>
  <c r="F83" i="1"/>
  <c r="J82" i="1"/>
  <c r="F82" i="1" s="1"/>
  <c r="J81" i="1"/>
  <c r="F81" i="1"/>
  <c r="J80" i="1"/>
  <c r="F80" i="1" s="1"/>
  <c r="J79" i="1"/>
  <c r="F79" i="1" s="1"/>
  <c r="J78" i="1"/>
  <c r="F78" i="1" s="1"/>
  <c r="J77" i="1"/>
  <c r="F77" i="1" s="1"/>
  <c r="J75" i="1"/>
  <c r="F75" i="1" s="1"/>
  <c r="J74" i="1"/>
  <c r="F74" i="1"/>
  <c r="J73" i="1"/>
  <c r="F73" i="1" s="1"/>
  <c r="J72" i="1"/>
  <c r="F72" i="1" s="1"/>
  <c r="J71" i="1"/>
  <c r="F71" i="1" s="1"/>
  <c r="J70" i="1"/>
  <c r="F70" i="1" s="1"/>
  <c r="J69" i="1"/>
  <c r="F69" i="1" s="1"/>
  <c r="J68" i="1"/>
  <c r="F68" i="1" s="1"/>
  <c r="J67" i="1"/>
  <c r="F67" i="1" s="1"/>
  <c r="J66" i="1"/>
  <c r="F66" i="1" s="1"/>
  <c r="J65" i="1"/>
  <c r="F65" i="1" s="1"/>
  <c r="J64" i="1"/>
  <c r="F64" i="1" s="1"/>
  <c r="J63" i="1"/>
  <c r="F63" i="1" s="1"/>
  <c r="J62" i="1"/>
  <c r="F62" i="1" s="1"/>
  <c r="J61" i="1"/>
  <c r="F61" i="1" s="1"/>
  <c r="J60" i="1"/>
  <c r="F60" i="1" s="1"/>
  <c r="J59" i="1"/>
  <c r="F59" i="1" s="1"/>
  <c r="J58" i="1"/>
  <c r="F58" i="1" s="1"/>
  <c r="J57" i="1"/>
  <c r="F57" i="1" s="1"/>
  <c r="J56" i="1"/>
  <c r="F56" i="1" s="1"/>
  <c r="J55" i="1"/>
  <c r="F55" i="1" s="1"/>
  <c r="J54" i="1"/>
  <c r="F54" i="1" s="1"/>
  <c r="J53" i="1"/>
  <c r="F53" i="1" s="1"/>
  <c r="J52" i="1"/>
  <c r="F52" i="1" s="1"/>
  <c r="J51" i="1"/>
  <c r="F51" i="1" s="1"/>
  <c r="J50" i="1"/>
  <c r="F50" i="1" s="1"/>
  <c r="J49" i="1"/>
  <c r="F49" i="1" s="1"/>
  <c r="J48" i="1"/>
  <c r="F48" i="1" s="1"/>
  <c r="J47" i="1"/>
  <c r="F47" i="1" s="1"/>
  <c r="J46" i="1"/>
  <c r="F46" i="1" s="1"/>
  <c r="J45" i="1"/>
  <c r="F45" i="1" s="1"/>
  <c r="J44" i="1"/>
  <c r="F44" i="1" s="1"/>
  <c r="J43" i="1"/>
  <c r="F43" i="1" s="1"/>
  <c r="J42" i="1"/>
  <c r="F42" i="1" s="1"/>
  <c r="J41" i="1"/>
  <c r="F41" i="1" s="1"/>
  <c r="J40" i="1"/>
  <c r="F40" i="1" s="1"/>
  <c r="J39" i="1"/>
  <c r="F39" i="1" s="1"/>
  <c r="J38" i="1"/>
  <c r="F38" i="1" s="1"/>
  <c r="J37" i="1"/>
  <c r="F37" i="1" s="1"/>
  <c r="J36" i="1"/>
  <c r="F36" i="1" s="1"/>
  <c r="J35" i="1"/>
  <c r="F35" i="1" s="1"/>
  <c r="J34" i="1"/>
  <c r="F34" i="1" s="1"/>
  <c r="J33" i="1"/>
  <c r="F33" i="1" s="1"/>
  <c r="J32" i="1"/>
  <c r="F32" i="1" s="1"/>
  <c r="J31" i="1"/>
  <c r="F31" i="1" s="1"/>
  <c r="J30" i="1"/>
  <c r="F30" i="1" s="1"/>
  <c r="J29" i="1"/>
  <c r="F29" i="1" s="1"/>
  <c r="J28" i="1"/>
  <c r="F28" i="1" s="1"/>
  <c r="J27" i="1"/>
  <c r="F27" i="1" s="1"/>
  <c r="J26" i="1"/>
  <c r="F26" i="1" s="1"/>
  <c r="J25" i="1"/>
  <c r="F25" i="1" s="1"/>
  <c r="J24" i="1"/>
  <c r="F24" i="1" s="1"/>
  <c r="J23" i="1"/>
  <c r="F23" i="1" s="1"/>
  <c r="J22" i="1"/>
  <c r="F22" i="1" s="1"/>
  <c r="J21" i="1"/>
  <c r="F21" i="1" s="1"/>
  <c r="J20" i="1"/>
  <c r="F20" i="1" s="1"/>
  <c r="J18" i="1"/>
  <c r="F18" i="1" s="1"/>
  <c r="J17" i="1"/>
  <c r="F17" i="1" s="1"/>
  <c r="J16" i="1"/>
  <c r="F16" i="1" s="1"/>
  <c r="J15" i="1"/>
  <c r="F15" i="1" s="1"/>
  <c r="J14" i="1"/>
  <c r="F14" i="1" s="1"/>
  <c r="J13" i="1"/>
  <c r="F13" i="1" s="1"/>
  <c r="J12" i="1"/>
  <c r="F12" i="1" s="1"/>
  <c r="J11" i="1"/>
  <c r="F11" i="1" s="1"/>
  <c r="J10" i="1"/>
  <c r="F10" i="1" s="1"/>
  <c r="J9" i="1"/>
  <c r="F9" i="1" s="1"/>
  <c r="J8" i="1"/>
  <c r="F8" i="1" s="1"/>
  <c r="J7" i="1"/>
  <c r="F7" i="1" s="1"/>
  <c r="J6" i="1"/>
  <c r="F6" i="1" s="1"/>
  <c r="J5" i="1"/>
  <c r="F5" i="1" s="1"/>
  <c r="J4" i="1"/>
  <c r="F4" i="1" s="1"/>
  <c r="J3" i="1"/>
  <c r="F3" i="1" s="1"/>
  <c r="J2" i="1"/>
  <c r="F2" i="1" s="1"/>
  <c r="F202" i="1" l="1"/>
  <c r="M202" i="1"/>
  <c r="M201" i="1"/>
  <c r="F201" i="1"/>
</calcChain>
</file>

<file path=xl/sharedStrings.xml><?xml version="1.0" encoding="utf-8"?>
<sst xmlns="http://schemas.openxmlformats.org/spreadsheetml/2006/main" count="357" uniqueCount="110">
  <si>
    <t>Tubo Rectangular</t>
  </si>
  <si>
    <t>60X30X1,5CM</t>
  </si>
  <si>
    <t>80X20X1,5</t>
  </si>
  <si>
    <t>Tubo Cuadrado</t>
  </si>
  <si>
    <t>ANGULO HIERRO 30X3</t>
  </si>
  <si>
    <t>20x10x1,5</t>
  </si>
  <si>
    <t>30X20X1,5</t>
  </si>
  <si>
    <t>40x20x1,5</t>
  </si>
  <si>
    <t>40X30X1,5</t>
  </si>
  <si>
    <t>50x20x1,5</t>
  </si>
  <si>
    <t>50x40x1,5</t>
  </si>
  <si>
    <t>60x15x1,5</t>
  </si>
  <si>
    <t>60x20x1,5</t>
  </si>
  <si>
    <t>60X40X1,5</t>
  </si>
  <si>
    <t>80X20X2</t>
  </si>
  <si>
    <t>80X40X2</t>
  </si>
  <si>
    <t>80X50X2</t>
  </si>
  <si>
    <t>100x20x1,5</t>
  </si>
  <si>
    <t>100*50*2</t>
  </si>
  <si>
    <t>140X60X3</t>
  </si>
  <si>
    <t>10x10x1</t>
  </si>
  <si>
    <t xml:space="preserve">Cuadradillo macizo </t>
  </si>
  <si>
    <t>14x1,5</t>
  </si>
  <si>
    <t>16x1,5</t>
  </si>
  <si>
    <t>20x1,5</t>
  </si>
  <si>
    <t>Tubo cuadrado</t>
  </si>
  <si>
    <t>25x1,5</t>
  </si>
  <si>
    <t>30x1,5</t>
  </si>
  <si>
    <t>40x1,5</t>
  </si>
  <si>
    <t>40x4</t>
  </si>
  <si>
    <t>50X1,5</t>
  </si>
  <si>
    <t>60X1,5</t>
  </si>
  <si>
    <t>70X2</t>
  </si>
  <si>
    <t>80X2</t>
  </si>
  <si>
    <t>tubo redondo</t>
  </si>
  <si>
    <t>18X1,5</t>
  </si>
  <si>
    <t>junio</t>
  </si>
  <si>
    <t>tubo redondo INOX</t>
  </si>
  <si>
    <t>20x1,5. A-304</t>
  </si>
  <si>
    <t>Tubo redondo</t>
  </si>
  <si>
    <t>25X1,5</t>
  </si>
  <si>
    <t>Tubo redondo GALVANIZADO</t>
  </si>
  <si>
    <t>40X3</t>
  </si>
  <si>
    <t>50x1,5</t>
  </si>
  <si>
    <t>50x2</t>
  </si>
  <si>
    <t>100x2</t>
  </si>
  <si>
    <t>pletina</t>
  </si>
  <si>
    <t>16x3</t>
  </si>
  <si>
    <t>20x3</t>
  </si>
  <si>
    <t>20X5</t>
  </si>
  <si>
    <t>25x3</t>
  </si>
  <si>
    <t>30x3</t>
  </si>
  <si>
    <t>80x5</t>
  </si>
  <si>
    <t>30x5</t>
  </si>
  <si>
    <t>40X10</t>
  </si>
  <si>
    <t>40X4</t>
  </si>
  <si>
    <t>50X40</t>
  </si>
  <si>
    <t>80X10</t>
  </si>
  <si>
    <t>40x6</t>
  </si>
  <si>
    <t>pletina latón</t>
  </si>
  <si>
    <t>PLETINA</t>
  </si>
  <si>
    <t>40x5</t>
  </si>
  <si>
    <t>wasap 5/10/2022</t>
  </si>
  <si>
    <t>angulo chapa</t>
  </si>
  <si>
    <t>20*1,5</t>
  </si>
  <si>
    <t>15*1,5</t>
  </si>
  <si>
    <t>angulo</t>
  </si>
  <si>
    <t>30x30</t>
  </si>
  <si>
    <t>20X3</t>
  </si>
  <si>
    <t>25X3</t>
  </si>
  <si>
    <t>ANGULO HIERRO</t>
  </si>
  <si>
    <t>30X3</t>
  </si>
  <si>
    <t>ANGULO HIERRO 20X3</t>
  </si>
  <si>
    <t>varilla</t>
  </si>
  <si>
    <t>0,85 METRO</t>
  </si>
  <si>
    <t>cerco 30x15x1,5</t>
  </si>
  <si>
    <t>30*15</t>
  </si>
  <si>
    <t>cerco 35x15x1,5</t>
  </si>
  <si>
    <t>35x15x1,5</t>
  </si>
  <si>
    <t>cerco 50x40x2</t>
  </si>
  <si>
    <t>U 40*20/3</t>
  </si>
  <si>
    <t>U 20*20/1,5</t>
  </si>
  <si>
    <t>U 20*20*20*1,5</t>
  </si>
  <si>
    <t>U 60 a 6100MM</t>
  </si>
  <si>
    <t>U60</t>
  </si>
  <si>
    <t>TUBO GALVANIZADO</t>
  </si>
  <si>
    <t>35*35*1,5</t>
  </si>
  <si>
    <t>16*16*1,5</t>
  </si>
  <si>
    <t>40*30*1,5</t>
  </si>
  <si>
    <t>CORRUGADO B500S RE16</t>
  </si>
  <si>
    <t xml:space="preserve">CORRUGADO B500S </t>
  </si>
  <si>
    <t>CORRUGADO RED 6</t>
  </si>
  <si>
    <t>SIMPLE T</t>
  </si>
  <si>
    <t>TUBO RECT 140X60X3</t>
  </si>
  <si>
    <t>DARWIN</t>
  </si>
  <si>
    <t>CHAPA N 940*640*1,5</t>
  </si>
  <si>
    <t>PANEL SANDWICH 30mm BCO/BCO TORN.VISTA</t>
  </si>
  <si>
    <t>6*3000</t>
  </si>
  <si>
    <t xml:space="preserve"> METAL DEPLOYE HIERRO</t>
  </si>
  <si>
    <t>46*75*20*1,5</t>
  </si>
  <si>
    <t>BARRAS REDONDO INOX. RED</t>
  </si>
  <si>
    <t>CHAPAS 940*640*1,5</t>
  </si>
  <si>
    <t>MALLA ELECTROSOLDADA DE 100*100*4</t>
  </si>
  <si>
    <t>REDONDOS CALIBRADOS DE 4MM</t>
  </si>
  <si>
    <t>PAÑO MALLA 300*100*3 LUZ 30X30</t>
  </si>
  <si>
    <t>PAÑO MALLA 2000*1000*3  LUZ 30*30</t>
  </si>
  <si>
    <t>CHAPA GALVANIZADA 2500*1250*1,5</t>
  </si>
  <si>
    <t>MEDIDA</t>
  </si>
  <si>
    <t>ID-MATERIAL</t>
  </si>
  <si>
    <t>PRECIO METRO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</si>
</sst>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>
    <font>
      <sz val="11"/>
      <color theme="1"/>
      <name val="Aptos Narrow"/>
      <family val="2"/>
      <scheme val="minor"/>
    </font>
    <font>
      <sz val="10"/>
      <name val="Arial"/>
      <family val="2"/>
    </font>
    <font>
      <b/>
      <sz val="10"/>
      <name val="Arial"/>
      <family val="2"/>
    </font>
    <font>
      <b/>
      <sz val="10"/>
      <color rgb="FFFF0000"/>
      <name val="Arial"/>
      <family val="2"/>
    </font>
    <font>
      <sz val="10"/>
      <color rgb="FFFF0000"/>
      <name val="Arial"/>
      <family val="2"/>
    </font>
    <font>
      <sz val="10"/>
      <color rgb="FFFF0000"/>
      <name val="Arial,Bold"/>
    </font>
  </fonts>
  <fills count="3">
    <fill>
      <patternFill patternType="none"/>
    </fill>
    <fill>
      <patternFill patternType="gray125"/>
    </fill>
    <fill>
      <patternFill patternType="solid">
        <fgColor theme="8" tint="0.39997558519241921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8">
    <xf numFmtId="0" fontId="0" fillId="0" borderId="0" xfId="0"/>
    <xf numFmtId="0" fontId="1" fillId="0" borderId="0" xfId="0" applyFont="1"/>
    <xf numFmtId="14" fontId="1" fillId="0" borderId="0" xfId="0" applyNumberFormat="1" applyFont="1"/>
    <xf numFmtId="2" fontId="1" fillId="0" borderId="0" xfId="0" applyNumberFormat="1" applyFont="1"/>
    <xf numFmtId="0" fontId="2" fillId="0" borderId="0" xfId="0" applyFont="1"/>
    <xf numFmtId="16" fontId="1" fillId="0" borderId="0" xfId="0" applyNumberFormat="1" applyFont="1"/>
    <xf numFmtId="0" fontId="3" fillId="0" borderId="0" xfId="0" applyFont="1"/>
    <xf numFmtId="0" fontId="3" fillId="0" borderId="0" xfId="0" applyFont="1" applyAlignment="1">
      <alignment horizontal="left"/>
    </xf>
    <xf numFmtId="0" fontId="4" fillId="0" borderId="0" xfId="0" applyFont="1"/>
    <xf numFmtId="0" fontId="4" fillId="0" borderId="0" xfId="0" applyFont="1" applyAlignment="1">
      <alignment horizontal="left"/>
    </xf>
    <xf numFmtId="16" fontId="4" fillId="0" borderId="0" xfId="0" applyNumberFormat="1" applyFont="1"/>
    <xf numFmtId="0" fontId="1" fillId="2" borderId="0" xfId="0" applyFont="1" applyFill="1"/>
    <xf numFmtId="16" fontId="1" fillId="2" borderId="0" xfId="0" applyNumberFormat="1" applyFont="1" applyFill="1"/>
    <xf numFmtId="2" fontId="1" fillId="0" borderId="0" xfId="0" applyNumberFormat="1" applyFont="1" applyAlignment="1">
      <alignment horizontal="right"/>
    </xf>
    <xf numFmtId="0" fontId="4" fillId="2" borderId="0" xfId="0" applyFont="1" applyFill="1"/>
    <xf numFmtId="0" fontId="4" fillId="2" borderId="0" xfId="0" applyFont="1" applyFill="1" applyAlignment="1">
      <alignment horizontal="left"/>
    </xf>
    <xf numFmtId="0" fontId="5" fillId="0" borderId="0" xfId="0" applyFont="1" applyAlignment="1">
      <alignment horizontal="left"/>
    </xf>
    <xf numFmtId="0" fontId="5" fillId="2" borderId="0" xfId="0" applyFont="1" applyFill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A6C054F-791B-45D1-BCB3-7156174E6637}">
  <dimension ref="A1:Q288"/>
  <sheetViews>
    <sheetView tabSelected="1" topLeftCell="A129" workbookViewId="0">
      <selection activeCell="B24" sqref="B24"/>
    </sheetView>
  </sheetViews>
  <sheetFormatPr baseColWidth="10" defaultRowHeight="12.75"/>
  <cols>
    <col min="1" max="1" width="11.42578125" style="1"/>
    <col min="2" max="2" width="29.7109375" style="8" customWidth="1"/>
    <col min="3" max="3" width="11.42578125" style="9"/>
    <col min="4" max="4" width="11.42578125" style="1"/>
    <col min="5" max="5" width="3.5703125" style="1" customWidth="1"/>
    <col min="6" max="6" width="13.28515625" style="1" customWidth="1"/>
    <col min="7" max="7" width="16.7109375" style="1" customWidth="1"/>
    <col min="8" max="8" width="11.42578125" style="8"/>
    <col min="9" max="257" width="11.42578125" style="1"/>
    <col min="258" max="258" width="29.7109375" style="1" customWidth="1"/>
    <col min="259" max="260" width="11.42578125" style="1"/>
    <col min="261" max="261" width="3.5703125" style="1" customWidth="1"/>
    <col min="262" max="262" width="13.28515625" style="1" customWidth="1"/>
    <col min="263" max="263" width="16.7109375" style="1" customWidth="1"/>
    <col min="264" max="513" width="11.42578125" style="1"/>
    <col min="514" max="514" width="29.7109375" style="1" customWidth="1"/>
    <col min="515" max="516" width="11.42578125" style="1"/>
    <col min="517" max="517" width="3.5703125" style="1" customWidth="1"/>
    <col min="518" max="518" width="13.28515625" style="1" customWidth="1"/>
    <col min="519" max="519" width="16.7109375" style="1" customWidth="1"/>
    <col min="520" max="769" width="11.42578125" style="1"/>
    <col min="770" max="770" width="29.7109375" style="1" customWidth="1"/>
    <col min="771" max="772" width="11.42578125" style="1"/>
    <col min="773" max="773" width="3.5703125" style="1" customWidth="1"/>
    <col min="774" max="774" width="13.28515625" style="1" customWidth="1"/>
    <col min="775" max="775" width="16.7109375" style="1" customWidth="1"/>
    <col min="776" max="1025" width="11.42578125" style="1"/>
    <col min="1026" max="1026" width="29.7109375" style="1" customWidth="1"/>
    <col min="1027" max="1028" width="11.42578125" style="1"/>
    <col min="1029" max="1029" width="3.5703125" style="1" customWidth="1"/>
    <col min="1030" max="1030" width="13.28515625" style="1" customWidth="1"/>
    <col min="1031" max="1031" width="16.7109375" style="1" customWidth="1"/>
    <col min="1032" max="1281" width="11.42578125" style="1"/>
    <col min="1282" max="1282" width="29.7109375" style="1" customWidth="1"/>
    <col min="1283" max="1284" width="11.42578125" style="1"/>
    <col min="1285" max="1285" width="3.5703125" style="1" customWidth="1"/>
    <col min="1286" max="1286" width="13.28515625" style="1" customWidth="1"/>
    <col min="1287" max="1287" width="16.7109375" style="1" customWidth="1"/>
    <col min="1288" max="1537" width="11.42578125" style="1"/>
    <col min="1538" max="1538" width="29.7109375" style="1" customWidth="1"/>
    <col min="1539" max="1540" width="11.42578125" style="1"/>
    <col min="1541" max="1541" width="3.5703125" style="1" customWidth="1"/>
    <col min="1542" max="1542" width="13.28515625" style="1" customWidth="1"/>
    <col min="1543" max="1543" width="16.7109375" style="1" customWidth="1"/>
    <col min="1544" max="1793" width="11.42578125" style="1"/>
    <col min="1794" max="1794" width="29.7109375" style="1" customWidth="1"/>
    <col min="1795" max="1796" width="11.42578125" style="1"/>
    <col min="1797" max="1797" width="3.5703125" style="1" customWidth="1"/>
    <col min="1798" max="1798" width="13.28515625" style="1" customWidth="1"/>
    <col min="1799" max="1799" width="16.7109375" style="1" customWidth="1"/>
    <col min="1800" max="2049" width="11.42578125" style="1"/>
    <col min="2050" max="2050" width="29.7109375" style="1" customWidth="1"/>
    <col min="2051" max="2052" width="11.42578125" style="1"/>
    <col min="2053" max="2053" width="3.5703125" style="1" customWidth="1"/>
    <col min="2054" max="2054" width="13.28515625" style="1" customWidth="1"/>
    <col min="2055" max="2055" width="16.7109375" style="1" customWidth="1"/>
    <col min="2056" max="2305" width="11.42578125" style="1"/>
    <col min="2306" max="2306" width="29.7109375" style="1" customWidth="1"/>
    <col min="2307" max="2308" width="11.42578125" style="1"/>
    <col min="2309" max="2309" width="3.5703125" style="1" customWidth="1"/>
    <col min="2310" max="2310" width="13.28515625" style="1" customWidth="1"/>
    <col min="2311" max="2311" width="16.7109375" style="1" customWidth="1"/>
    <col min="2312" max="2561" width="11.42578125" style="1"/>
    <col min="2562" max="2562" width="29.7109375" style="1" customWidth="1"/>
    <col min="2563" max="2564" width="11.42578125" style="1"/>
    <col min="2565" max="2565" width="3.5703125" style="1" customWidth="1"/>
    <col min="2566" max="2566" width="13.28515625" style="1" customWidth="1"/>
    <col min="2567" max="2567" width="16.7109375" style="1" customWidth="1"/>
    <col min="2568" max="2817" width="11.42578125" style="1"/>
    <col min="2818" max="2818" width="29.7109375" style="1" customWidth="1"/>
    <col min="2819" max="2820" width="11.42578125" style="1"/>
    <col min="2821" max="2821" width="3.5703125" style="1" customWidth="1"/>
    <col min="2822" max="2822" width="13.28515625" style="1" customWidth="1"/>
    <col min="2823" max="2823" width="16.7109375" style="1" customWidth="1"/>
    <col min="2824" max="3073" width="11.42578125" style="1"/>
    <col min="3074" max="3074" width="29.7109375" style="1" customWidth="1"/>
    <col min="3075" max="3076" width="11.42578125" style="1"/>
    <col min="3077" max="3077" width="3.5703125" style="1" customWidth="1"/>
    <col min="3078" max="3078" width="13.28515625" style="1" customWidth="1"/>
    <col min="3079" max="3079" width="16.7109375" style="1" customWidth="1"/>
    <col min="3080" max="3329" width="11.42578125" style="1"/>
    <col min="3330" max="3330" width="29.7109375" style="1" customWidth="1"/>
    <col min="3331" max="3332" width="11.42578125" style="1"/>
    <col min="3333" max="3333" width="3.5703125" style="1" customWidth="1"/>
    <col min="3334" max="3334" width="13.28515625" style="1" customWidth="1"/>
    <col min="3335" max="3335" width="16.7109375" style="1" customWidth="1"/>
    <col min="3336" max="3585" width="11.42578125" style="1"/>
    <col min="3586" max="3586" width="29.7109375" style="1" customWidth="1"/>
    <col min="3587" max="3588" width="11.42578125" style="1"/>
    <col min="3589" max="3589" width="3.5703125" style="1" customWidth="1"/>
    <col min="3590" max="3590" width="13.28515625" style="1" customWidth="1"/>
    <col min="3591" max="3591" width="16.7109375" style="1" customWidth="1"/>
    <col min="3592" max="3841" width="11.42578125" style="1"/>
    <col min="3842" max="3842" width="29.7109375" style="1" customWidth="1"/>
    <col min="3843" max="3844" width="11.42578125" style="1"/>
    <col min="3845" max="3845" width="3.5703125" style="1" customWidth="1"/>
    <col min="3846" max="3846" width="13.28515625" style="1" customWidth="1"/>
    <col min="3847" max="3847" width="16.7109375" style="1" customWidth="1"/>
    <col min="3848" max="4097" width="11.42578125" style="1"/>
    <col min="4098" max="4098" width="29.7109375" style="1" customWidth="1"/>
    <col min="4099" max="4100" width="11.42578125" style="1"/>
    <col min="4101" max="4101" width="3.5703125" style="1" customWidth="1"/>
    <col min="4102" max="4102" width="13.28515625" style="1" customWidth="1"/>
    <col min="4103" max="4103" width="16.7109375" style="1" customWidth="1"/>
    <col min="4104" max="4353" width="11.42578125" style="1"/>
    <col min="4354" max="4354" width="29.7109375" style="1" customWidth="1"/>
    <col min="4355" max="4356" width="11.42578125" style="1"/>
    <col min="4357" max="4357" width="3.5703125" style="1" customWidth="1"/>
    <col min="4358" max="4358" width="13.28515625" style="1" customWidth="1"/>
    <col min="4359" max="4359" width="16.7109375" style="1" customWidth="1"/>
    <col min="4360" max="4609" width="11.42578125" style="1"/>
    <col min="4610" max="4610" width="29.7109375" style="1" customWidth="1"/>
    <col min="4611" max="4612" width="11.42578125" style="1"/>
    <col min="4613" max="4613" width="3.5703125" style="1" customWidth="1"/>
    <col min="4614" max="4614" width="13.28515625" style="1" customWidth="1"/>
    <col min="4615" max="4615" width="16.7109375" style="1" customWidth="1"/>
    <col min="4616" max="4865" width="11.42578125" style="1"/>
    <col min="4866" max="4866" width="29.7109375" style="1" customWidth="1"/>
    <col min="4867" max="4868" width="11.42578125" style="1"/>
    <col min="4869" max="4869" width="3.5703125" style="1" customWidth="1"/>
    <col min="4870" max="4870" width="13.28515625" style="1" customWidth="1"/>
    <col min="4871" max="4871" width="16.7109375" style="1" customWidth="1"/>
    <col min="4872" max="5121" width="11.42578125" style="1"/>
    <col min="5122" max="5122" width="29.7109375" style="1" customWidth="1"/>
    <col min="5123" max="5124" width="11.42578125" style="1"/>
    <col min="5125" max="5125" width="3.5703125" style="1" customWidth="1"/>
    <col min="5126" max="5126" width="13.28515625" style="1" customWidth="1"/>
    <col min="5127" max="5127" width="16.7109375" style="1" customWidth="1"/>
    <col min="5128" max="5377" width="11.42578125" style="1"/>
    <col min="5378" max="5378" width="29.7109375" style="1" customWidth="1"/>
    <col min="5379" max="5380" width="11.42578125" style="1"/>
    <col min="5381" max="5381" width="3.5703125" style="1" customWidth="1"/>
    <col min="5382" max="5382" width="13.28515625" style="1" customWidth="1"/>
    <col min="5383" max="5383" width="16.7109375" style="1" customWidth="1"/>
    <col min="5384" max="5633" width="11.42578125" style="1"/>
    <col min="5634" max="5634" width="29.7109375" style="1" customWidth="1"/>
    <col min="5635" max="5636" width="11.42578125" style="1"/>
    <col min="5637" max="5637" width="3.5703125" style="1" customWidth="1"/>
    <col min="5638" max="5638" width="13.28515625" style="1" customWidth="1"/>
    <col min="5639" max="5639" width="16.7109375" style="1" customWidth="1"/>
    <col min="5640" max="5889" width="11.42578125" style="1"/>
    <col min="5890" max="5890" width="29.7109375" style="1" customWidth="1"/>
    <col min="5891" max="5892" width="11.42578125" style="1"/>
    <col min="5893" max="5893" width="3.5703125" style="1" customWidth="1"/>
    <col min="5894" max="5894" width="13.28515625" style="1" customWidth="1"/>
    <col min="5895" max="5895" width="16.7109375" style="1" customWidth="1"/>
    <col min="5896" max="6145" width="11.42578125" style="1"/>
    <col min="6146" max="6146" width="29.7109375" style="1" customWidth="1"/>
    <col min="6147" max="6148" width="11.42578125" style="1"/>
    <col min="6149" max="6149" width="3.5703125" style="1" customWidth="1"/>
    <col min="6150" max="6150" width="13.28515625" style="1" customWidth="1"/>
    <col min="6151" max="6151" width="16.7109375" style="1" customWidth="1"/>
    <col min="6152" max="6401" width="11.42578125" style="1"/>
    <col min="6402" max="6402" width="29.7109375" style="1" customWidth="1"/>
    <col min="6403" max="6404" width="11.42578125" style="1"/>
    <col min="6405" max="6405" width="3.5703125" style="1" customWidth="1"/>
    <col min="6406" max="6406" width="13.28515625" style="1" customWidth="1"/>
    <col min="6407" max="6407" width="16.7109375" style="1" customWidth="1"/>
    <col min="6408" max="6657" width="11.42578125" style="1"/>
    <col min="6658" max="6658" width="29.7109375" style="1" customWidth="1"/>
    <col min="6659" max="6660" width="11.42578125" style="1"/>
    <col min="6661" max="6661" width="3.5703125" style="1" customWidth="1"/>
    <col min="6662" max="6662" width="13.28515625" style="1" customWidth="1"/>
    <col min="6663" max="6663" width="16.7109375" style="1" customWidth="1"/>
    <col min="6664" max="6913" width="11.42578125" style="1"/>
    <col min="6914" max="6914" width="29.7109375" style="1" customWidth="1"/>
    <col min="6915" max="6916" width="11.42578125" style="1"/>
    <col min="6917" max="6917" width="3.5703125" style="1" customWidth="1"/>
    <col min="6918" max="6918" width="13.28515625" style="1" customWidth="1"/>
    <col min="6919" max="6919" width="16.7109375" style="1" customWidth="1"/>
    <col min="6920" max="7169" width="11.42578125" style="1"/>
    <col min="7170" max="7170" width="29.7109375" style="1" customWidth="1"/>
    <col min="7171" max="7172" width="11.42578125" style="1"/>
    <col min="7173" max="7173" width="3.5703125" style="1" customWidth="1"/>
    <col min="7174" max="7174" width="13.28515625" style="1" customWidth="1"/>
    <col min="7175" max="7175" width="16.7109375" style="1" customWidth="1"/>
    <col min="7176" max="7425" width="11.42578125" style="1"/>
    <col min="7426" max="7426" width="29.7109375" style="1" customWidth="1"/>
    <col min="7427" max="7428" width="11.42578125" style="1"/>
    <col min="7429" max="7429" width="3.5703125" style="1" customWidth="1"/>
    <col min="7430" max="7430" width="13.28515625" style="1" customWidth="1"/>
    <col min="7431" max="7431" width="16.7109375" style="1" customWidth="1"/>
    <col min="7432" max="7681" width="11.42578125" style="1"/>
    <col min="7682" max="7682" width="29.7109375" style="1" customWidth="1"/>
    <col min="7683" max="7684" width="11.42578125" style="1"/>
    <col min="7685" max="7685" width="3.5703125" style="1" customWidth="1"/>
    <col min="7686" max="7686" width="13.28515625" style="1" customWidth="1"/>
    <col min="7687" max="7687" width="16.7109375" style="1" customWidth="1"/>
    <col min="7688" max="7937" width="11.42578125" style="1"/>
    <col min="7938" max="7938" width="29.7109375" style="1" customWidth="1"/>
    <col min="7939" max="7940" width="11.42578125" style="1"/>
    <col min="7941" max="7941" width="3.5703125" style="1" customWidth="1"/>
    <col min="7942" max="7942" width="13.28515625" style="1" customWidth="1"/>
    <col min="7943" max="7943" width="16.7109375" style="1" customWidth="1"/>
    <col min="7944" max="8193" width="11.42578125" style="1"/>
    <col min="8194" max="8194" width="29.7109375" style="1" customWidth="1"/>
    <col min="8195" max="8196" width="11.42578125" style="1"/>
    <col min="8197" max="8197" width="3.5703125" style="1" customWidth="1"/>
    <col min="8198" max="8198" width="13.28515625" style="1" customWidth="1"/>
    <col min="8199" max="8199" width="16.7109375" style="1" customWidth="1"/>
    <col min="8200" max="8449" width="11.42578125" style="1"/>
    <col min="8450" max="8450" width="29.7109375" style="1" customWidth="1"/>
    <col min="8451" max="8452" width="11.42578125" style="1"/>
    <col min="8453" max="8453" width="3.5703125" style="1" customWidth="1"/>
    <col min="8454" max="8454" width="13.28515625" style="1" customWidth="1"/>
    <col min="8455" max="8455" width="16.7109375" style="1" customWidth="1"/>
    <col min="8456" max="8705" width="11.42578125" style="1"/>
    <col min="8706" max="8706" width="29.7109375" style="1" customWidth="1"/>
    <col min="8707" max="8708" width="11.42578125" style="1"/>
    <col min="8709" max="8709" width="3.5703125" style="1" customWidth="1"/>
    <col min="8710" max="8710" width="13.28515625" style="1" customWidth="1"/>
    <col min="8711" max="8711" width="16.7109375" style="1" customWidth="1"/>
    <col min="8712" max="8961" width="11.42578125" style="1"/>
    <col min="8962" max="8962" width="29.7109375" style="1" customWidth="1"/>
    <col min="8963" max="8964" width="11.42578125" style="1"/>
    <col min="8965" max="8965" width="3.5703125" style="1" customWidth="1"/>
    <col min="8966" max="8966" width="13.28515625" style="1" customWidth="1"/>
    <col min="8967" max="8967" width="16.7109375" style="1" customWidth="1"/>
    <col min="8968" max="9217" width="11.42578125" style="1"/>
    <col min="9218" max="9218" width="29.7109375" style="1" customWidth="1"/>
    <col min="9219" max="9220" width="11.42578125" style="1"/>
    <col min="9221" max="9221" width="3.5703125" style="1" customWidth="1"/>
    <col min="9222" max="9222" width="13.28515625" style="1" customWidth="1"/>
    <col min="9223" max="9223" width="16.7109375" style="1" customWidth="1"/>
    <col min="9224" max="9473" width="11.42578125" style="1"/>
    <col min="9474" max="9474" width="29.7109375" style="1" customWidth="1"/>
    <col min="9475" max="9476" width="11.42578125" style="1"/>
    <col min="9477" max="9477" width="3.5703125" style="1" customWidth="1"/>
    <col min="9478" max="9478" width="13.28515625" style="1" customWidth="1"/>
    <col min="9479" max="9479" width="16.7109375" style="1" customWidth="1"/>
    <col min="9480" max="9729" width="11.42578125" style="1"/>
    <col min="9730" max="9730" width="29.7109375" style="1" customWidth="1"/>
    <col min="9731" max="9732" width="11.42578125" style="1"/>
    <col min="9733" max="9733" width="3.5703125" style="1" customWidth="1"/>
    <col min="9734" max="9734" width="13.28515625" style="1" customWidth="1"/>
    <col min="9735" max="9735" width="16.7109375" style="1" customWidth="1"/>
    <col min="9736" max="9985" width="11.42578125" style="1"/>
    <col min="9986" max="9986" width="29.7109375" style="1" customWidth="1"/>
    <col min="9987" max="9988" width="11.42578125" style="1"/>
    <col min="9989" max="9989" width="3.5703125" style="1" customWidth="1"/>
    <col min="9990" max="9990" width="13.28515625" style="1" customWidth="1"/>
    <col min="9991" max="9991" width="16.7109375" style="1" customWidth="1"/>
    <col min="9992" max="10241" width="11.42578125" style="1"/>
    <col min="10242" max="10242" width="29.7109375" style="1" customWidth="1"/>
    <col min="10243" max="10244" width="11.42578125" style="1"/>
    <col min="10245" max="10245" width="3.5703125" style="1" customWidth="1"/>
    <col min="10246" max="10246" width="13.28515625" style="1" customWidth="1"/>
    <col min="10247" max="10247" width="16.7109375" style="1" customWidth="1"/>
    <col min="10248" max="10497" width="11.42578125" style="1"/>
    <col min="10498" max="10498" width="29.7109375" style="1" customWidth="1"/>
    <col min="10499" max="10500" width="11.42578125" style="1"/>
    <col min="10501" max="10501" width="3.5703125" style="1" customWidth="1"/>
    <col min="10502" max="10502" width="13.28515625" style="1" customWidth="1"/>
    <col min="10503" max="10503" width="16.7109375" style="1" customWidth="1"/>
    <col min="10504" max="10753" width="11.42578125" style="1"/>
    <col min="10754" max="10754" width="29.7109375" style="1" customWidth="1"/>
    <col min="10755" max="10756" width="11.42578125" style="1"/>
    <col min="10757" max="10757" width="3.5703125" style="1" customWidth="1"/>
    <col min="10758" max="10758" width="13.28515625" style="1" customWidth="1"/>
    <col min="10759" max="10759" width="16.7109375" style="1" customWidth="1"/>
    <col min="10760" max="11009" width="11.42578125" style="1"/>
    <col min="11010" max="11010" width="29.7109375" style="1" customWidth="1"/>
    <col min="11011" max="11012" width="11.42578125" style="1"/>
    <col min="11013" max="11013" width="3.5703125" style="1" customWidth="1"/>
    <col min="11014" max="11014" width="13.28515625" style="1" customWidth="1"/>
    <col min="11015" max="11015" width="16.7109375" style="1" customWidth="1"/>
    <col min="11016" max="11265" width="11.42578125" style="1"/>
    <col min="11266" max="11266" width="29.7109375" style="1" customWidth="1"/>
    <col min="11267" max="11268" width="11.42578125" style="1"/>
    <col min="11269" max="11269" width="3.5703125" style="1" customWidth="1"/>
    <col min="11270" max="11270" width="13.28515625" style="1" customWidth="1"/>
    <col min="11271" max="11271" width="16.7109375" style="1" customWidth="1"/>
    <col min="11272" max="11521" width="11.42578125" style="1"/>
    <col min="11522" max="11522" width="29.7109375" style="1" customWidth="1"/>
    <col min="11523" max="11524" width="11.42578125" style="1"/>
    <col min="11525" max="11525" width="3.5703125" style="1" customWidth="1"/>
    <col min="11526" max="11526" width="13.28515625" style="1" customWidth="1"/>
    <col min="11527" max="11527" width="16.7109375" style="1" customWidth="1"/>
    <col min="11528" max="11777" width="11.42578125" style="1"/>
    <col min="11778" max="11778" width="29.7109375" style="1" customWidth="1"/>
    <col min="11779" max="11780" width="11.42578125" style="1"/>
    <col min="11781" max="11781" width="3.5703125" style="1" customWidth="1"/>
    <col min="11782" max="11782" width="13.28515625" style="1" customWidth="1"/>
    <col min="11783" max="11783" width="16.7109375" style="1" customWidth="1"/>
    <col min="11784" max="12033" width="11.42578125" style="1"/>
    <col min="12034" max="12034" width="29.7109375" style="1" customWidth="1"/>
    <col min="12035" max="12036" width="11.42578125" style="1"/>
    <col min="12037" max="12037" width="3.5703125" style="1" customWidth="1"/>
    <col min="12038" max="12038" width="13.28515625" style="1" customWidth="1"/>
    <col min="12039" max="12039" width="16.7109375" style="1" customWidth="1"/>
    <col min="12040" max="12289" width="11.42578125" style="1"/>
    <col min="12290" max="12290" width="29.7109375" style="1" customWidth="1"/>
    <col min="12291" max="12292" width="11.42578125" style="1"/>
    <col min="12293" max="12293" width="3.5703125" style="1" customWidth="1"/>
    <col min="12294" max="12294" width="13.28515625" style="1" customWidth="1"/>
    <col min="12295" max="12295" width="16.7109375" style="1" customWidth="1"/>
    <col min="12296" max="12545" width="11.42578125" style="1"/>
    <col min="12546" max="12546" width="29.7109375" style="1" customWidth="1"/>
    <col min="12547" max="12548" width="11.42578125" style="1"/>
    <col min="12549" max="12549" width="3.5703125" style="1" customWidth="1"/>
    <col min="12550" max="12550" width="13.28515625" style="1" customWidth="1"/>
    <col min="12551" max="12551" width="16.7109375" style="1" customWidth="1"/>
    <col min="12552" max="12801" width="11.42578125" style="1"/>
    <col min="12802" max="12802" width="29.7109375" style="1" customWidth="1"/>
    <col min="12803" max="12804" width="11.42578125" style="1"/>
    <col min="12805" max="12805" width="3.5703125" style="1" customWidth="1"/>
    <col min="12806" max="12806" width="13.28515625" style="1" customWidth="1"/>
    <col min="12807" max="12807" width="16.7109375" style="1" customWidth="1"/>
    <col min="12808" max="13057" width="11.42578125" style="1"/>
    <col min="13058" max="13058" width="29.7109375" style="1" customWidth="1"/>
    <col min="13059" max="13060" width="11.42578125" style="1"/>
    <col min="13061" max="13061" width="3.5703125" style="1" customWidth="1"/>
    <col min="13062" max="13062" width="13.28515625" style="1" customWidth="1"/>
    <col min="13063" max="13063" width="16.7109375" style="1" customWidth="1"/>
    <col min="13064" max="13313" width="11.42578125" style="1"/>
    <col min="13314" max="13314" width="29.7109375" style="1" customWidth="1"/>
    <col min="13315" max="13316" width="11.42578125" style="1"/>
    <col min="13317" max="13317" width="3.5703125" style="1" customWidth="1"/>
    <col min="13318" max="13318" width="13.28515625" style="1" customWidth="1"/>
    <col min="13319" max="13319" width="16.7109375" style="1" customWidth="1"/>
    <col min="13320" max="13569" width="11.42578125" style="1"/>
    <col min="13570" max="13570" width="29.7109375" style="1" customWidth="1"/>
    <col min="13571" max="13572" width="11.42578125" style="1"/>
    <col min="13573" max="13573" width="3.5703125" style="1" customWidth="1"/>
    <col min="13574" max="13574" width="13.28515625" style="1" customWidth="1"/>
    <col min="13575" max="13575" width="16.7109375" style="1" customWidth="1"/>
    <col min="13576" max="13825" width="11.42578125" style="1"/>
    <col min="13826" max="13826" width="29.7109375" style="1" customWidth="1"/>
    <col min="13827" max="13828" width="11.42578125" style="1"/>
    <col min="13829" max="13829" width="3.5703125" style="1" customWidth="1"/>
    <col min="13830" max="13830" width="13.28515625" style="1" customWidth="1"/>
    <col min="13831" max="13831" width="16.7109375" style="1" customWidth="1"/>
    <col min="13832" max="14081" width="11.42578125" style="1"/>
    <col min="14082" max="14082" width="29.7109375" style="1" customWidth="1"/>
    <col min="14083" max="14084" width="11.42578125" style="1"/>
    <col min="14085" max="14085" width="3.5703125" style="1" customWidth="1"/>
    <col min="14086" max="14086" width="13.28515625" style="1" customWidth="1"/>
    <col min="14087" max="14087" width="16.7109375" style="1" customWidth="1"/>
    <col min="14088" max="14337" width="11.42578125" style="1"/>
    <col min="14338" max="14338" width="29.7109375" style="1" customWidth="1"/>
    <col min="14339" max="14340" width="11.42578125" style="1"/>
    <col min="14341" max="14341" width="3.5703125" style="1" customWidth="1"/>
    <col min="14342" max="14342" width="13.28515625" style="1" customWidth="1"/>
    <col min="14343" max="14343" width="16.7109375" style="1" customWidth="1"/>
    <col min="14344" max="14593" width="11.42578125" style="1"/>
    <col min="14594" max="14594" width="29.7109375" style="1" customWidth="1"/>
    <col min="14595" max="14596" width="11.42578125" style="1"/>
    <col min="14597" max="14597" width="3.5703125" style="1" customWidth="1"/>
    <col min="14598" max="14598" width="13.28515625" style="1" customWidth="1"/>
    <col min="14599" max="14599" width="16.7109375" style="1" customWidth="1"/>
    <col min="14600" max="14849" width="11.42578125" style="1"/>
    <col min="14850" max="14850" width="29.7109375" style="1" customWidth="1"/>
    <col min="14851" max="14852" width="11.42578125" style="1"/>
    <col min="14853" max="14853" width="3.5703125" style="1" customWidth="1"/>
    <col min="14854" max="14854" width="13.28515625" style="1" customWidth="1"/>
    <col min="14855" max="14855" width="16.7109375" style="1" customWidth="1"/>
    <col min="14856" max="15105" width="11.42578125" style="1"/>
    <col min="15106" max="15106" width="29.7109375" style="1" customWidth="1"/>
    <col min="15107" max="15108" width="11.42578125" style="1"/>
    <col min="15109" max="15109" width="3.5703125" style="1" customWidth="1"/>
    <col min="15110" max="15110" width="13.28515625" style="1" customWidth="1"/>
    <col min="15111" max="15111" width="16.7109375" style="1" customWidth="1"/>
    <col min="15112" max="15361" width="11.42578125" style="1"/>
    <col min="15362" max="15362" width="29.7109375" style="1" customWidth="1"/>
    <col min="15363" max="15364" width="11.42578125" style="1"/>
    <col min="15365" max="15365" width="3.5703125" style="1" customWidth="1"/>
    <col min="15366" max="15366" width="13.28515625" style="1" customWidth="1"/>
    <col min="15367" max="15367" width="16.7109375" style="1" customWidth="1"/>
    <col min="15368" max="15617" width="11.42578125" style="1"/>
    <col min="15618" max="15618" width="29.7109375" style="1" customWidth="1"/>
    <col min="15619" max="15620" width="11.42578125" style="1"/>
    <col min="15621" max="15621" width="3.5703125" style="1" customWidth="1"/>
    <col min="15622" max="15622" width="13.28515625" style="1" customWidth="1"/>
    <col min="15623" max="15623" width="16.7109375" style="1" customWidth="1"/>
    <col min="15624" max="15873" width="11.42578125" style="1"/>
    <col min="15874" max="15874" width="29.7109375" style="1" customWidth="1"/>
    <col min="15875" max="15876" width="11.42578125" style="1"/>
    <col min="15877" max="15877" width="3.5703125" style="1" customWidth="1"/>
    <col min="15878" max="15878" width="13.28515625" style="1" customWidth="1"/>
    <col min="15879" max="15879" width="16.7109375" style="1" customWidth="1"/>
    <col min="15880" max="16129" width="11.42578125" style="1"/>
    <col min="16130" max="16130" width="29.7109375" style="1" customWidth="1"/>
    <col min="16131" max="16132" width="11.42578125" style="1"/>
    <col min="16133" max="16133" width="3.5703125" style="1" customWidth="1"/>
    <col min="16134" max="16134" width="13.28515625" style="1" customWidth="1"/>
    <col min="16135" max="16135" width="16.7109375" style="1" customWidth="1"/>
    <col min="16136" max="16384" width="11.42578125" style="1"/>
  </cols>
  <sheetData>
    <row r="1" spans="1:14">
      <c r="B1" s="8" t="s">
        <v>108</v>
      </c>
      <c r="C1" s="9" t="s">
        <v>107</v>
      </c>
      <c r="H1" s="8" t="s">
        <v>109</v>
      </c>
    </row>
    <row r="2" spans="1:14">
      <c r="A2" s="1">
        <v>5</v>
      </c>
      <c r="B2" s="8" t="s">
        <v>0</v>
      </c>
      <c r="C2" s="9" t="s">
        <v>5</v>
      </c>
      <c r="F2" s="1">
        <f t="shared" ref="F2:F18" si="0">(J2/A2)</f>
        <v>7.5</v>
      </c>
      <c r="G2" s="1">
        <v>30</v>
      </c>
      <c r="H2" s="8">
        <v>1.25</v>
      </c>
      <c r="J2" s="1">
        <f t="shared" ref="J2:J20" si="1">(H2*G2)</f>
        <v>37.5</v>
      </c>
    </row>
    <row r="3" spans="1:14">
      <c r="A3" s="1">
        <v>4</v>
      </c>
      <c r="B3" s="8" t="s">
        <v>0</v>
      </c>
      <c r="C3" s="9" t="s">
        <v>6</v>
      </c>
      <c r="F3" s="1">
        <f t="shared" si="0"/>
        <v>9.3000000000000007</v>
      </c>
      <c r="G3" s="1">
        <v>24</v>
      </c>
      <c r="H3" s="8">
        <v>1.55</v>
      </c>
      <c r="J3" s="1">
        <f>(H3*G3)</f>
        <v>37.200000000000003</v>
      </c>
      <c r="L3" s="5">
        <v>44881</v>
      </c>
    </row>
    <row r="4" spans="1:14" s="6" customFormat="1">
      <c r="A4" s="6">
        <v>1</v>
      </c>
      <c r="B4" s="6" t="s">
        <v>0</v>
      </c>
      <c r="C4" s="7" t="s">
        <v>7</v>
      </c>
      <c r="F4" s="6">
        <f>(J4/A4)</f>
        <v>13.200000000000001</v>
      </c>
      <c r="G4" s="6">
        <v>6</v>
      </c>
      <c r="H4" s="6">
        <v>2.2000000000000002</v>
      </c>
      <c r="J4" s="4">
        <f>(H4*G4)</f>
        <v>13.200000000000001</v>
      </c>
      <c r="L4" s="6">
        <v>2026</v>
      </c>
    </row>
    <row r="5" spans="1:14">
      <c r="A5" s="1">
        <v>1</v>
      </c>
      <c r="B5" s="8" t="s">
        <v>0</v>
      </c>
      <c r="C5" s="9" t="s">
        <v>8</v>
      </c>
      <c r="F5" s="1">
        <f t="shared" si="0"/>
        <v>14.700000000000001</v>
      </c>
      <c r="G5" s="1">
        <v>6</v>
      </c>
      <c r="H5" s="8">
        <v>2.4500000000000002</v>
      </c>
      <c r="J5" s="1">
        <f>(H5*G5)</f>
        <v>14.700000000000001</v>
      </c>
      <c r="L5" s="5">
        <v>45253</v>
      </c>
    </row>
    <row r="6" spans="1:14">
      <c r="A6" s="1">
        <v>5</v>
      </c>
      <c r="B6" s="8" t="s">
        <v>0</v>
      </c>
      <c r="C6" s="9" t="s">
        <v>9</v>
      </c>
      <c r="F6" s="1">
        <f t="shared" si="0"/>
        <v>17.7</v>
      </c>
      <c r="G6" s="1">
        <v>30</v>
      </c>
      <c r="H6" s="8">
        <v>2.95</v>
      </c>
      <c r="J6" s="1">
        <f t="shared" si="1"/>
        <v>88.5</v>
      </c>
      <c r="L6" s="5">
        <v>44722</v>
      </c>
    </row>
    <row r="7" spans="1:14">
      <c r="A7" s="1">
        <v>1</v>
      </c>
      <c r="B7" s="8" t="s">
        <v>0</v>
      </c>
      <c r="C7" s="9" t="s">
        <v>10</v>
      </c>
      <c r="F7" s="1">
        <f>(J7/A7)</f>
        <v>20.100000000000001</v>
      </c>
      <c r="G7" s="1">
        <v>6</v>
      </c>
      <c r="H7" s="8">
        <v>3.35</v>
      </c>
      <c r="J7" s="1">
        <f>(H7*G7)</f>
        <v>20.100000000000001</v>
      </c>
      <c r="L7" s="5">
        <v>45357</v>
      </c>
      <c r="M7" s="1">
        <v>2024</v>
      </c>
    </row>
    <row r="8" spans="1:14">
      <c r="A8" s="1">
        <v>2</v>
      </c>
      <c r="B8" s="8" t="s">
        <v>0</v>
      </c>
      <c r="C8" s="9" t="s">
        <v>11</v>
      </c>
      <c r="F8" s="1">
        <f>(J8/A8)</f>
        <v>17.100000000000001</v>
      </c>
      <c r="G8" s="1">
        <v>12</v>
      </c>
      <c r="H8" s="8">
        <v>2.85</v>
      </c>
      <c r="J8" s="1">
        <f>(H8*G8)</f>
        <v>34.200000000000003</v>
      </c>
      <c r="L8" s="5">
        <v>45248</v>
      </c>
    </row>
    <row r="9" spans="1:14">
      <c r="A9" s="1">
        <v>2</v>
      </c>
      <c r="B9" s="8" t="s">
        <v>0</v>
      </c>
      <c r="C9" s="9" t="s">
        <v>12</v>
      </c>
      <c r="F9" s="1">
        <f>(J9/A9)</f>
        <v>18.299999999999997</v>
      </c>
      <c r="G9" s="1">
        <v>12</v>
      </c>
      <c r="H9" s="8">
        <v>3.05</v>
      </c>
      <c r="J9" s="1">
        <f>(H9*G9)</f>
        <v>36.599999999999994</v>
      </c>
      <c r="L9" s="5">
        <v>44878</v>
      </c>
    </row>
    <row r="10" spans="1:14">
      <c r="A10" s="1">
        <v>2</v>
      </c>
      <c r="B10" s="8" t="s">
        <v>0</v>
      </c>
      <c r="C10" s="9" t="s">
        <v>1</v>
      </c>
      <c r="F10" s="1">
        <f t="shared" si="0"/>
        <v>20.399999999999999</v>
      </c>
      <c r="G10" s="1">
        <v>12</v>
      </c>
      <c r="H10" s="8">
        <v>3.4</v>
      </c>
      <c r="J10" s="1">
        <f t="shared" si="1"/>
        <v>40.799999999999997</v>
      </c>
    </row>
    <row r="11" spans="1:14">
      <c r="A11" s="1">
        <v>2</v>
      </c>
      <c r="B11" s="8" t="s">
        <v>0</v>
      </c>
      <c r="C11" s="9" t="s">
        <v>13</v>
      </c>
      <c r="F11" s="1">
        <f t="shared" si="0"/>
        <v>21.9</v>
      </c>
      <c r="G11" s="1">
        <v>12</v>
      </c>
      <c r="H11" s="8">
        <v>3.65</v>
      </c>
      <c r="J11" s="1">
        <f t="shared" si="1"/>
        <v>43.8</v>
      </c>
      <c r="L11" s="5">
        <v>44847</v>
      </c>
    </row>
    <row r="12" spans="1:14">
      <c r="A12" s="1">
        <v>2</v>
      </c>
      <c r="B12" s="8" t="s">
        <v>0</v>
      </c>
      <c r="C12" s="9" t="s">
        <v>14</v>
      </c>
      <c r="F12" s="1">
        <f t="shared" si="0"/>
        <v>31.200000000000003</v>
      </c>
      <c r="G12" s="1">
        <v>12</v>
      </c>
      <c r="H12" s="8">
        <v>5.2</v>
      </c>
      <c r="J12" s="1">
        <f t="shared" si="1"/>
        <v>62.400000000000006</v>
      </c>
      <c r="L12" s="5">
        <v>44847</v>
      </c>
    </row>
    <row r="13" spans="1:14">
      <c r="A13" s="1">
        <v>2</v>
      </c>
      <c r="B13" s="8" t="s">
        <v>0</v>
      </c>
      <c r="C13" s="9" t="s">
        <v>2</v>
      </c>
      <c r="F13" s="1">
        <f t="shared" si="0"/>
        <v>23.4</v>
      </c>
      <c r="G13" s="1">
        <v>12</v>
      </c>
      <c r="H13" s="8">
        <v>3.9</v>
      </c>
      <c r="J13" s="1">
        <f t="shared" si="1"/>
        <v>46.8</v>
      </c>
      <c r="L13" s="5">
        <v>44874</v>
      </c>
    </row>
    <row r="14" spans="1:14" s="8" customFormat="1" ht="13.5" customHeight="1">
      <c r="A14" s="8">
        <v>1</v>
      </c>
      <c r="B14" s="8" t="s">
        <v>0</v>
      </c>
      <c r="C14" s="9" t="s">
        <v>15</v>
      </c>
      <c r="F14" s="8">
        <f>(J14/A14)</f>
        <v>33</v>
      </c>
      <c r="G14" s="8">
        <v>6</v>
      </c>
      <c r="H14" s="8">
        <v>5.5</v>
      </c>
      <c r="J14" s="1">
        <f t="shared" si="1"/>
        <v>33</v>
      </c>
      <c r="L14" s="10"/>
      <c r="M14" s="8">
        <v>2026</v>
      </c>
    </row>
    <row r="15" spans="1:14">
      <c r="A15" s="1">
        <v>1</v>
      </c>
      <c r="B15" s="8" t="s">
        <v>0</v>
      </c>
      <c r="C15" s="9" t="s">
        <v>16</v>
      </c>
      <c r="F15" s="1">
        <f t="shared" si="0"/>
        <v>37.200000000000003</v>
      </c>
      <c r="G15" s="1">
        <v>6</v>
      </c>
      <c r="H15" s="8">
        <v>6.2</v>
      </c>
      <c r="J15" s="1">
        <f t="shared" si="1"/>
        <v>37.200000000000003</v>
      </c>
      <c r="L15" s="5">
        <v>44957</v>
      </c>
      <c r="M15" s="1">
        <v>2023</v>
      </c>
    </row>
    <row r="16" spans="1:14">
      <c r="A16" s="1">
        <v>3</v>
      </c>
      <c r="B16" s="8" t="s">
        <v>0</v>
      </c>
      <c r="C16" s="9" t="s">
        <v>17</v>
      </c>
      <c r="F16" s="1">
        <f t="shared" si="0"/>
        <v>33.6</v>
      </c>
      <c r="G16" s="1">
        <v>18</v>
      </c>
      <c r="H16" s="8">
        <v>5.6</v>
      </c>
      <c r="J16" s="1">
        <f t="shared" si="1"/>
        <v>100.8</v>
      </c>
      <c r="L16" s="5">
        <v>44813</v>
      </c>
      <c r="N16" s="1">
        <v>5.7</v>
      </c>
    </row>
    <row r="17" spans="1:14">
      <c r="A17" s="1">
        <v>12</v>
      </c>
      <c r="B17" s="8" t="s">
        <v>0</v>
      </c>
      <c r="C17" s="9" t="s">
        <v>18</v>
      </c>
      <c r="F17" s="1">
        <f>(J17/A17)</f>
        <v>45</v>
      </c>
      <c r="G17" s="1">
        <v>72</v>
      </c>
      <c r="H17" s="8">
        <v>7.5</v>
      </c>
      <c r="J17" s="1">
        <f>(H17*G17)</f>
        <v>540</v>
      </c>
      <c r="L17" s="5">
        <v>45091</v>
      </c>
      <c r="N17" s="1">
        <v>5.7</v>
      </c>
    </row>
    <row r="18" spans="1:14">
      <c r="A18" s="1">
        <v>1</v>
      </c>
      <c r="B18" s="8" t="s">
        <v>0</v>
      </c>
      <c r="C18" s="9" t="s">
        <v>19</v>
      </c>
      <c r="F18" s="1">
        <f t="shared" si="0"/>
        <v>107.96</v>
      </c>
      <c r="G18" s="1">
        <v>1</v>
      </c>
      <c r="H18" s="8">
        <v>107.96</v>
      </c>
      <c r="J18" s="1">
        <f t="shared" si="1"/>
        <v>107.96</v>
      </c>
      <c r="L18" s="5">
        <v>44813</v>
      </c>
    </row>
    <row r="19" spans="1:14" s="11" customFormat="1">
      <c r="B19" s="14"/>
      <c r="C19" s="15"/>
      <c r="H19" s="14"/>
      <c r="L19" s="12"/>
    </row>
    <row r="20" spans="1:14">
      <c r="A20" s="1">
        <v>4</v>
      </c>
      <c r="B20" s="8" t="s">
        <v>3</v>
      </c>
      <c r="C20" s="9" t="s">
        <v>20</v>
      </c>
      <c r="F20" s="1">
        <f t="shared" ref="F20:F74" si="2">(J20/A20)</f>
        <v>4.32</v>
      </c>
      <c r="G20" s="1">
        <v>24</v>
      </c>
      <c r="H20" s="8">
        <v>0.72</v>
      </c>
      <c r="J20" s="1">
        <f t="shared" si="1"/>
        <v>17.28</v>
      </c>
      <c r="L20" s="5">
        <v>44693</v>
      </c>
    </row>
    <row r="21" spans="1:14">
      <c r="A21" s="1">
        <v>2</v>
      </c>
      <c r="B21" s="8" t="s">
        <v>21</v>
      </c>
      <c r="C21" s="9">
        <v>10</v>
      </c>
      <c r="F21" s="1">
        <f>(J21/A21)</f>
        <v>6</v>
      </c>
      <c r="G21" s="1">
        <v>10</v>
      </c>
      <c r="H21" s="8">
        <v>1.2</v>
      </c>
      <c r="J21" s="1">
        <f>(H21*G21)</f>
        <v>12</v>
      </c>
      <c r="L21" s="2">
        <v>45336</v>
      </c>
      <c r="M21" s="1">
        <v>2024</v>
      </c>
    </row>
    <row r="22" spans="1:14">
      <c r="A22" s="1">
        <v>4</v>
      </c>
      <c r="B22" s="8" t="s">
        <v>3</v>
      </c>
      <c r="C22" s="9" t="s">
        <v>22</v>
      </c>
      <c r="F22" s="1">
        <f t="shared" si="2"/>
        <v>7.5</v>
      </c>
      <c r="G22" s="1">
        <v>24</v>
      </c>
      <c r="H22" s="8">
        <v>1.25</v>
      </c>
      <c r="J22" s="1">
        <f>(H22*G22)</f>
        <v>30</v>
      </c>
      <c r="L22" s="5">
        <v>44638</v>
      </c>
    </row>
    <row r="23" spans="1:14" s="8" customFormat="1">
      <c r="A23" s="8">
        <v>2</v>
      </c>
      <c r="B23" s="8" t="s">
        <v>3</v>
      </c>
      <c r="C23" s="9" t="s">
        <v>22</v>
      </c>
      <c r="F23" s="8">
        <f t="shared" si="2"/>
        <v>9.6000000000000014</v>
      </c>
      <c r="G23" s="8">
        <v>12</v>
      </c>
      <c r="H23" s="8">
        <v>1.6</v>
      </c>
      <c r="J23" s="1">
        <f t="shared" ref="J23:J85" si="3">(H23*G23)</f>
        <v>19.200000000000003</v>
      </c>
      <c r="L23" s="10"/>
      <c r="M23" s="8">
        <v>2026</v>
      </c>
    </row>
    <row r="24" spans="1:14">
      <c r="A24" s="1">
        <v>2</v>
      </c>
      <c r="B24" s="8" t="s">
        <v>3</v>
      </c>
      <c r="C24" s="9" t="s">
        <v>22</v>
      </c>
      <c r="F24" s="1">
        <f>(J24/A24)</f>
        <v>6.8999999999999995</v>
      </c>
      <c r="G24" s="1">
        <v>12</v>
      </c>
      <c r="H24" s="8">
        <v>1.1499999999999999</v>
      </c>
      <c r="J24" s="1">
        <f>(H24*G24)</f>
        <v>13.799999999999999</v>
      </c>
      <c r="L24" s="5">
        <v>44847</v>
      </c>
    </row>
    <row r="25" spans="1:14" ht="13.5" customHeight="1">
      <c r="A25" s="1">
        <v>3</v>
      </c>
      <c r="B25" s="8" t="s">
        <v>3</v>
      </c>
      <c r="C25" s="9" t="s">
        <v>22</v>
      </c>
      <c r="F25" s="1">
        <f>(J25/A25)</f>
        <v>6.6000000000000005</v>
      </c>
      <c r="G25" s="1">
        <v>18</v>
      </c>
      <c r="H25" s="8">
        <v>1.1000000000000001</v>
      </c>
      <c r="J25" s="1">
        <f>(H25*G25)</f>
        <v>19.8</v>
      </c>
      <c r="L25" s="5">
        <v>45253</v>
      </c>
    </row>
    <row r="26" spans="1:14" ht="13.5" customHeight="1">
      <c r="A26" s="1">
        <v>12</v>
      </c>
      <c r="B26" s="8" t="s">
        <v>3</v>
      </c>
      <c r="C26" s="9" t="s">
        <v>22</v>
      </c>
      <c r="F26" s="1">
        <f>(J26/A26)</f>
        <v>6.6000000000000005</v>
      </c>
      <c r="G26" s="1">
        <v>72</v>
      </c>
      <c r="H26" s="8">
        <v>1.1000000000000001</v>
      </c>
      <c r="J26" s="1">
        <f>(H26*G26)</f>
        <v>79.2</v>
      </c>
      <c r="L26" s="5">
        <v>45248</v>
      </c>
      <c r="M26" s="1">
        <v>2023</v>
      </c>
    </row>
    <row r="27" spans="1:14" ht="13.5" customHeight="1">
      <c r="A27" s="1">
        <v>2</v>
      </c>
      <c r="B27" s="8" t="s">
        <v>3</v>
      </c>
      <c r="C27" s="9" t="s">
        <v>22</v>
      </c>
      <c r="F27" s="1">
        <f>(J27/A27)</f>
        <v>6.48</v>
      </c>
      <c r="G27" s="1">
        <v>12</v>
      </c>
      <c r="H27" s="8">
        <v>1.08</v>
      </c>
      <c r="J27" s="1">
        <f>(H27*G27)</f>
        <v>12.96</v>
      </c>
      <c r="L27" s="5">
        <v>45336</v>
      </c>
      <c r="M27" s="1">
        <v>2024</v>
      </c>
    </row>
    <row r="28" spans="1:14">
      <c r="A28" s="1">
        <v>10</v>
      </c>
      <c r="B28" s="8" t="s">
        <v>3</v>
      </c>
      <c r="C28" s="9" t="s">
        <v>22</v>
      </c>
      <c r="F28" s="1">
        <f>(J28/A28)</f>
        <v>6.6</v>
      </c>
      <c r="G28" s="1">
        <v>60</v>
      </c>
      <c r="H28" s="8">
        <v>1.1000000000000001</v>
      </c>
      <c r="J28" s="1">
        <f>(H28*G28)</f>
        <v>66</v>
      </c>
      <c r="L28" s="2">
        <v>45399</v>
      </c>
      <c r="M28" s="1">
        <v>2024</v>
      </c>
    </row>
    <row r="29" spans="1:14">
      <c r="A29" s="1">
        <v>2</v>
      </c>
      <c r="B29" s="8" t="s">
        <v>3</v>
      </c>
      <c r="C29" s="9" t="s">
        <v>23</v>
      </c>
      <c r="F29" s="1">
        <f t="shared" si="2"/>
        <v>7.5</v>
      </c>
      <c r="G29" s="1">
        <v>12</v>
      </c>
      <c r="H29" s="8">
        <v>1.25</v>
      </c>
      <c r="J29" s="1">
        <f t="shared" si="3"/>
        <v>15</v>
      </c>
      <c r="L29" s="5">
        <v>45253</v>
      </c>
    </row>
    <row r="30" spans="1:14">
      <c r="A30" s="1">
        <v>4</v>
      </c>
      <c r="B30" s="8" t="s">
        <v>3</v>
      </c>
      <c r="C30" s="9" t="s">
        <v>23</v>
      </c>
      <c r="F30" s="1">
        <f t="shared" si="2"/>
        <v>8.2799999999999994</v>
      </c>
      <c r="G30" s="1">
        <v>24</v>
      </c>
      <c r="H30" s="8">
        <v>1.38</v>
      </c>
      <c r="J30" s="1">
        <f t="shared" si="3"/>
        <v>33.119999999999997</v>
      </c>
      <c r="L30" s="5">
        <v>44693</v>
      </c>
    </row>
    <row r="31" spans="1:14">
      <c r="A31" s="1">
        <v>4</v>
      </c>
      <c r="B31" s="8" t="s">
        <v>3</v>
      </c>
      <c r="C31" s="9" t="s">
        <v>23</v>
      </c>
      <c r="F31" s="1">
        <f t="shared" si="2"/>
        <v>7.5</v>
      </c>
      <c r="G31" s="1">
        <v>24</v>
      </c>
      <c r="H31" s="8">
        <v>1.25</v>
      </c>
      <c r="J31" s="1">
        <f t="shared" si="3"/>
        <v>30</v>
      </c>
    </row>
    <row r="32" spans="1:14">
      <c r="A32" s="1">
        <v>4</v>
      </c>
      <c r="B32" s="8" t="s">
        <v>3</v>
      </c>
      <c r="C32" s="9" t="s">
        <v>23</v>
      </c>
      <c r="F32" s="1">
        <f t="shared" si="2"/>
        <v>7.8000000000000007</v>
      </c>
      <c r="G32" s="1">
        <v>24</v>
      </c>
      <c r="H32" s="8">
        <v>1.3</v>
      </c>
      <c r="J32" s="1">
        <f t="shared" si="3"/>
        <v>31.200000000000003</v>
      </c>
      <c r="L32" s="5">
        <v>44638</v>
      </c>
    </row>
    <row r="33" spans="1:13">
      <c r="A33" s="1">
        <v>5</v>
      </c>
      <c r="B33" s="8" t="s">
        <v>3</v>
      </c>
      <c r="C33" s="9" t="s">
        <v>23</v>
      </c>
      <c r="F33" s="1">
        <f t="shared" si="2"/>
        <v>7.5</v>
      </c>
      <c r="G33" s="1">
        <v>30</v>
      </c>
      <c r="H33" s="8">
        <v>1.25</v>
      </c>
      <c r="J33" s="1">
        <f t="shared" si="3"/>
        <v>37.5</v>
      </c>
      <c r="L33" s="5">
        <v>44813</v>
      </c>
    </row>
    <row r="34" spans="1:13">
      <c r="A34" s="1">
        <v>4</v>
      </c>
      <c r="B34" s="8" t="s">
        <v>3</v>
      </c>
      <c r="C34" s="9" t="s">
        <v>23</v>
      </c>
      <c r="F34" s="1">
        <f t="shared" si="2"/>
        <v>7.1999999999999993</v>
      </c>
      <c r="G34" s="1">
        <v>24</v>
      </c>
      <c r="H34" s="8">
        <v>1.2</v>
      </c>
      <c r="J34" s="1">
        <f t="shared" si="3"/>
        <v>28.799999999999997</v>
      </c>
      <c r="L34" s="5">
        <v>44847</v>
      </c>
    </row>
    <row r="35" spans="1:13">
      <c r="A35" s="1">
        <v>4</v>
      </c>
      <c r="B35" s="8" t="s">
        <v>3</v>
      </c>
      <c r="C35" s="9" t="s">
        <v>23</v>
      </c>
      <c r="F35" s="1">
        <f t="shared" si="2"/>
        <v>7.1999999999999993</v>
      </c>
      <c r="G35" s="1">
        <v>24</v>
      </c>
      <c r="H35" s="8">
        <v>1.2</v>
      </c>
      <c r="J35" s="1">
        <f t="shared" si="3"/>
        <v>28.799999999999997</v>
      </c>
      <c r="L35" s="5">
        <v>44881</v>
      </c>
    </row>
    <row r="36" spans="1:13">
      <c r="A36" s="1">
        <v>3</v>
      </c>
      <c r="B36" s="8" t="s">
        <v>3</v>
      </c>
      <c r="C36" s="9" t="s">
        <v>23</v>
      </c>
      <c r="F36" s="1">
        <f t="shared" si="2"/>
        <v>7.1999999999999993</v>
      </c>
      <c r="G36" s="1">
        <v>18</v>
      </c>
      <c r="H36" s="8">
        <v>1.2</v>
      </c>
      <c r="J36" s="1">
        <f t="shared" si="3"/>
        <v>21.599999999999998</v>
      </c>
      <c r="L36" s="5">
        <v>45253</v>
      </c>
    </row>
    <row r="37" spans="1:13">
      <c r="A37" s="1">
        <v>6</v>
      </c>
      <c r="B37" s="8" t="s">
        <v>3</v>
      </c>
      <c r="C37" s="9" t="s">
        <v>23</v>
      </c>
      <c r="F37" s="1">
        <f t="shared" si="2"/>
        <v>6.8999999999999995</v>
      </c>
      <c r="G37" s="1">
        <v>36</v>
      </c>
      <c r="H37" s="8">
        <v>1.1499999999999999</v>
      </c>
      <c r="J37" s="1">
        <f t="shared" si="3"/>
        <v>41.4</v>
      </c>
      <c r="L37" s="5">
        <v>44945</v>
      </c>
      <c r="M37" s="1">
        <v>2023</v>
      </c>
    </row>
    <row r="38" spans="1:13">
      <c r="A38" s="1">
        <v>2</v>
      </c>
      <c r="B38" s="8" t="s">
        <v>3</v>
      </c>
      <c r="C38" s="9" t="s">
        <v>23</v>
      </c>
      <c r="F38" s="1">
        <f>(J38/A38)</f>
        <v>6.3000000000000007</v>
      </c>
      <c r="G38" s="1">
        <v>12</v>
      </c>
      <c r="H38" s="8">
        <v>1.05</v>
      </c>
      <c r="J38" s="1">
        <f t="shared" si="3"/>
        <v>12.600000000000001</v>
      </c>
      <c r="L38" s="5">
        <v>45061</v>
      </c>
      <c r="M38" s="1">
        <v>2023</v>
      </c>
    </row>
    <row r="39" spans="1:13">
      <c r="A39" s="1">
        <v>2</v>
      </c>
      <c r="B39" s="8" t="s">
        <v>3</v>
      </c>
      <c r="C39" s="9" t="s">
        <v>23</v>
      </c>
      <c r="F39" s="1">
        <f>(J39/A39)</f>
        <v>6.84</v>
      </c>
      <c r="G39" s="1">
        <v>12</v>
      </c>
      <c r="H39" s="8">
        <v>1.1399999999999999</v>
      </c>
      <c r="J39" s="1">
        <f t="shared" si="3"/>
        <v>13.68</v>
      </c>
      <c r="L39" s="5">
        <v>45248</v>
      </c>
      <c r="M39" s="1">
        <v>2023</v>
      </c>
    </row>
    <row r="40" spans="1:13">
      <c r="A40" s="1">
        <v>1</v>
      </c>
      <c r="B40" s="8" t="s">
        <v>3</v>
      </c>
      <c r="C40" s="9" t="s">
        <v>23</v>
      </c>
      <c r="F40" s="1">
        <f>(J40/A40)</f>
        <v>6.8999999999999995</v>
      </c>
      <c r="G40" s="1">
        <v>6</v>
      </c>
      <c r="H40" s="8">
        <v>1.1499999999999999</v>
      </c>
      <c r="J40" s="1">
        <f t="shared" si="3"/>
        <v>6.8999999999999995</v>
      </c>
      <c r="L40" s="5">
        <v>2026</v>
      </c>
    </row>
    <row r="41" spans="1:13" s="8" customFormat="1">
      <c r="A41" s="8">
        <v>15</v>
      </c>
      <c r="B41" s="8" t="s">
        <v>3</v>
      </c>
      <c r="C41" s="9" t="s">
        <v>23</v>
      </c>
      <c r="F41" s="8">
        <f>(J41/A41)</f>
        <v>6.9599999999999991</v>
      </c>
      <c r="G41" s="8">
        <v>90</v>
      </c>
      <c r="H41" s="8">
        <v>1.1599999999999999</v>
      </c>
      <c r="J41" s="1">
        <f>(H41*G41)</f>
        <v>104.39999999999999</v>
      </c>
      <c r="L41" s="8">
        <v>2026</v>
      </c>
    </row>
    <row r="42" spans="1:13">
      <c r="A42" s="1">
        <v>4</v>
      </c>
      <c r="B42" s="8" t="s">
        <v>3</v>
      </c>
      <c r="C42" s="9" t="s">
        <v>24</v>
      </c>
      <c r="F42" s="1">
        <f t="shared" si="2"/>
        <v>9</v>
      </c>
      <c r="G42" s="1">
        <v>24</v>
      </c>
      <c r="H42" s="8">
        <v>1.5</v>
      </c>
      <c r="J42" s="1">
        <f t="shared" si="3"/>
        <v>36</v>
      </c>
    </row>
    <row r="43" spans="1:13">
      <c r="A43" s="1">
        <v>3</v>
      </c>
      <c r="B43" s="8" t="s">
        <v>3</v>
      </c>
      <c r="C43" s="9" t="s">
        <v>24</v>
      </c>
      <c r="F43" s="1">
        <f t="shared" si="2"/>
        <v>10.199999999999999</v>
      </c>
      <c r="G43" s="1">
        <v>18</v>
      </c>
      <c r="H43" s="8">
        <v>1.7</v>
      </c>
      <c r="J43" s="1">
        <f t="shared" si="3"/>
        <v>30.599999999999998</v>
      </c>
      <c r="L43" s="5">
        <v>44687</v>
      </c>
    </row>
    <row r="44" spans="1:13">
      <c r="A44" s="1">
        <v>6</v>
      </c>
      <c r="B44" s="8" t="s">
        <v>25</v>
      </c>
      <c r="C44" s="9" t="s">
        <v>24</v>
      </c>
      <c r="F44" s="1">
        <f t="shared" si="2"/>
        <v>9.5</v>
      </c>
      <c r="G44" s="1">
        <v>30</v>
      </c>
      <c r="H44" s="8">
        <v>1.9</v>
      </c>
      <c r="J44" s="1">
        <f t="shared" si="3"/>
        <v>57</v>
      </c>
    </row>
    <row r="45" spans="1:13">
      <c r="A45" s="1">
        <v>4</v>
      </c>
      <c r="B45" s="8" t="s">
        <v>25</v>
      </c>
      <c r="C45" s="9" t="s">
        <v>24</v>
      </c>
      <c r="F45" s="1">
        <f t="shared" si="2"/>
        <v>10.02</v>
      </c>
      <c r="G45" s="1">
        <v>24</v>
      </c>
      <c r="H45" s="8">
        <v>1.67</v>
      </c>
      <c r="J45" s="1">
        <f t="shared" si="3"/>
        <v>40.08</v>
      </c>
      <c r="L45" s="5">
        <v>44693</v>
      </c>
    </row>
    <row r="46" spans="1:13">
      <c r="A46" s="1">
        <v>4</v>
      </c>
      <c r="B46" s="8" t="s">
        <v>25</v>
      </c>
      <c r="C46" s="9" t="s">
        <v>24</v>
      </c>
      <c r="F46" s="1">
        <f t="shared" si="2"/>
        <v>10.02</v>
      </c>
      <c r="G46" s="1">
        <v>24</v>
      </c>
      <c r="H46" s="8">
        <v>1.67</v>
      </c>
      <c r="J46" s="1">
        <f t="shared" si="3"/>
        <v>40.08</v>
      </c>
      <c r="L46" s="5">
        <v>44722</v>
      </c>
    </row>
    <row r="47" spans="1:13">
      <c r="A47" s="1">
        <v>10</v>
      </c>
      <c r="B47" s="8" t="s">
        <v>25</v>
      </c>
      <c r="C47" s="9" t="s">
        <v>24</v>
      </c>
      <c r="F47" s="1">
        <f t="shared" si="2"/>
        <v>9</v>
      </c>
      <c r="G47" s="1">
        <v>60</v>
      </c>
      <c r="H47" s="8">
        <v>1.5</v>
      </c>
      <c r="J47" s="1">
        <f t="shared" si="3"/>
        <v>90</v>
      </c>
      <c r="L47" s="5">
        <v>44813</v>
      </c>
    </row>
    <row r="48" spans="1:13">
      <c r="A48" s="1">
        <v>4</v>
      </c>
      <c r="B48" s="8" t="s">
        <v>25</v>
      </c>
      <c r="C48" s="9" t="s">
        <v>24</v>
      </c>
      <c r="F48" s="1">
        <f t="shared" si="2"/>
        <v>8.6999999999999993</v>
      </c>
      <c r="G48" s="1">
        <v>24</v>
      </c>
      <c r="H48" s="8">
        <v>1.45</v>
      </c>
      <c r="J48" s="1">
        <f t="shared" si="3"/>
        <v>34.799999999999997</v>
      </c>
      <c r="L48" s="5">
        <v>44847</v>
      </c>
    </row>
    <row r="49" spans="1:13">
      <c r="A49" s="1">
        <v>8</v>
      </c>
      <c r="B49" s="8" t="s">
        <v>25</v>
      </c>
      <c r="C49" s="9" t="s">
        <v>24</v>
      </c>
      <c r="F49" s="1">
        <f>(J49/A49)</f>
        <v>9.8999999999999986</v>
      </c>
      <c r="G49" s="1">
        <v>48</v>
      </c>
      <c r="H49" s="8">
        <v>1.65</v>
      </c>
      <c r="J49" s="1">
        <f>(H49*G49)</f>
        <v>79.199999999999989</v>
      </c>
      <c r="L49" s="5">
        <v>44874</v>
      </c>
    </row>
    <row r="50" spans="1:13">
      <c r="A50" s="1">
        <v>6</v>
      </c>
      <c r="B50" s="8" t="s">
        <v>25</v>
      </c>
      <c r="C50" s="9" t="s">
        <v>24</v>
      </c>
      <c r="F50" s="1">
        <f>(J50/A50)</f>
        <v>8.16</v>
      </c>
      <c r="G50" s="1">
        <v>36</v>
      </c>
      <c r="H50" s="8">
        <v>1.36</v>
      </c>
      <c r="J50" s="1">
        <f>(H50*G50)</f>
        <v>48.96</v>
      </c>
      <c r="L50" s="5">
        <v>44945</v>
      </c>
      <c r="M50" s="1">
        <v>2023</v>
      </c>
    </row>
    <row r="51" spans="1:13">
      <c r="A51" s="1">
        <v>2</v>
      </c>
      <c r="B51" s="8" t="s">
        <v>25</v>
      </c>
      <c r="C51" s="9" t="s">
        <v>24</v>
      </c>
      <c r="F51" s="1">
        <f>(J51/A51)</f>
        <v>7.8000000000000007</v>
      </c>
      <c r="G51" s="1">
        <v>12</v>
      </c>
      <c r="H51" s="8">
        <v>1.3</v>
      </c>
      <c r="J51" s="1">
        <f>(H51*G51)</f>
        <v>15.600000000000001</v>
      </c>
      <c r="L51" s="5">
        <v>45061</v>
      </c>
      <c r="M51" s="1">
        <v>2023</v>
      </c>
    </row>
    <row r="52" spans="1:13">
      <c r="A52" s="1">
        <v>4</v>
      </c>
      <c r="B52" s="8" t="s">
        <v>25</v>
      </c>
      <c r="C52" s="9" t="s">
        <v>24</v>
      </c>
      <c r="F52" s="1">
        <f>(J52/A52)</f>
        <v>8.1000000000000014</v>
      </c>
      <c r="G52" s="1">
        <v>24</v>
      </c>
      <c r="H52" s="8">
        <v>1.35</v>
      </c>
      <c r="J52" s="1">
        <f>(H52*G52)</f>
        <v>32.400000000000006</v>
      </c>
      <c r="L52" s="5">
        <v>45285</v>
      </c>
    </row>
    <row r="53" spans="1:13">
      <c r="A53" s="1">
        <v>2</v>
      </c>
      <c r="B53" s="8" t="s">
        <v>25</v>
      </c>
      <c r="C53" s="9" t="s">
        <v>24</v>
      </c>
      <c r="F53" s="1">
        <f>(J53/A53)</f>
        <v>8.34</v>
      </c>
      <c r="G53" s="1">
        <v>12</v>
      </c>
      <c r="H53" s="8">
        <v>1.39</v>
      </c>
      <c r="J53" s="1">
        <f>(H53*G53)</f>
        <v>16.68</v>
      </c>
      <c r="L53" s="5">
        <v>45336</v>
      </c>
      <c r="M53" s="1">
        <v>2024</v>
      </c>
    </row>
    <row r="54" spans="1:13">
      <c r="A54" s="1">
        <v>4</v>
      </c>
      <c r="B54" s="8" t="s">
        <v>3</v>
      </c>
      <c r="C54" s="9" t="s">
        <v>26</v>
      </c>
      <c r="F54" s="1">
        <f t="shared" si="2"/>
        <v>11.94</v>
      </c>
      <c r="G54" s="1">
        <v>24</v>
      </c>
      <c r="H54" s="8">
        <v>1.99</v>
      </c>
      <c r="J54" s="1">
        <f t="shared" si="3"/>
        <v>47.76</v>
      </c>
      <c r="L54" s="5">
        <v>44638</v>
      </c>
    </row>
    <row r="55" spans="1:13">
      <c r="A55" s="1">
        <v>3</v>
      </c>
      <c r="B55" s="8" t="s">
        <v>3</v>
      </c>
      <c r="C55" s="9" t="s">
        <v>26</v>
      </c>
      <c r="F55" s="1">
        <f t="shared" si="2"/>
        <v>12.899999999999999</v>
      </c>
      <c r="G55" s="1">
        <v>18</v>
      </c>
      <c r="H55" s="8">
        <v>2.15</v>
      </c>
      <c r="J55" s="1">
        <f t="shared" si="3"/>
        <v>38.699999999999996</v>
      </c>
      <c r="L55" s="5">
        <v>44687</v>
      </c>
    </row>
    <row r="56" spans="1:13">
      <c r="A56" s="1">
        <v>4</v>
      </c>
      <c r="B56" s="8" t="s">
        <v>3</v>
      </c>
      <c r="C56" s="9" t="s">
        <v>26</v>
      </c>
      <c r="F56" s="1">
        <f t="shared" si="2"/>
        <v>10.5</v>
      </c>
      <c r="G56" s="1">
        <v>24</v>
      </c>
      <c r="H56" s="8">
        <v>1.75</v>
      </c>
      <c r="J56" s="1">
        <f t="shared" si="3"/>
        <v>42</v>
      </c>
      <c r="L56" s="5">
        <v>44813</v>
      </c>
    </row>
    <row r="57" spans="1:13" s="8" customFormat="1">
      <c r="A57" s="8">
        <v>2</v>
      </c>
      <c r="B57" s="8" t="s">
        <v>3</v>
      </c>
      <c r="C57" s="9" t="s">
        <v>26</v>
      </c>
      <c r="F57" s="8">
        <f t="shared" si="2"/>
        <v>10.5</v>
      </c>
      <c r="G57" s="8">
        <v>12</v>
      </c>
      <c r="H57" s="8">
        <v>1.75</v>
      </c>
      <c r="J57" s="1">
        <f>(H57*G57)</f>
        <v>21</v>
      </c>
      <c r="L57" s="10"/>
      <c r="M57" s="8">
        <v>2026</v>
      </c>
    </row>
    <row r="58" spans="1:13" s="8" customFormat="1">
      <c r="A58" s="8">
        <v>4</v>
      </c>
      <c r="B58" s="8" t="s">
        <v>3</v>
      </c>
      <c r="C58" s="9" t="s">
        <v>27</v>
      </c>
      <c r="F58" s="8">
        <f t="shared" si="2"/>
        <v>12.600000000000001</v>
      </c>
      <c r="G58" s="8">
        <v>24</v>
      </c>
      <c r="H58" s="8">
        <v>2.1</v>
      </c>
      <c r="J58" s="1">
        <f t="shared" si="3"/>
        <v>50.400000000000006</v>
      </c>
      <c r="L58" s="10"/>
      <c r="M58" s="8">
        <v>2026</v>
      </c>
    </row>
    <row r="59" spans="1:13">
      <c r="A59" s="1">
        <v>3</v>
      </c>
      <c r="B59" s="8" t="s">
        <v>3</v>
      </c>
      <c r="C59" s="9" t="s">
        <v>27</v>
      </c>
      <c r="F59" s="1">
        <f t="shared" si="2"/>
        <v>11.22</v>
      </c>
      <c r="G59" s="1">
        <v>18</v>
      </c>
      <c r="H59" s="8">
        <v>1.87</v>
      </c>
      <c r="J59" s="1">
        <f t="shared" si="3"/>
        <v>33.660000000000004</v>
      </c>
      <c r="L59" s="5">
        <v>44635</v>
      </c>
      <c r="M59" s="5">
        <v>44638</v>
      </c>
    </row>
    <row r="60" spans="1:13">
      <c r="A60" s="1">
        <v>4</v>
      </c>
      <c r="B60" s="8" t="s">
        <v>3</v>
      </c>
      <c r="C60" s="9" t="s">
        <v>27</v>
      </c>
      <c r="F60" s="1">
        <f t="shared" si="2"/>
        <v>14.28</v>
      </c>
      <c r="G60" s="1">
        <v>24</v>
      </c>
      <c r="H60" s="8">
        <v>2.38</v>
      </c>
      <c r="J60" s="1">
        <f t="shared" si="3"/>
        <v>57.12</v>
      </c>
      <c r="L60" s="5">
        <v>44638</v>
      </c>
    </row>
    <row r="61" spans="1:13">
      <c r="A61" s="1">
        <v>4</v>
      </c>
      <c r="B61" s="8" t="s">
        <v>3</v>
      </c>
      <c r="C61" s="9" t="s">
        <v>27</v>
      </c>
      <c r="F61" s="1">
        <f t="shared" si="2"/>
        <v>13.799999999999999</v>
      </c>
      <c r="G61" s="1">
        <v>24</v>
      </c>
      <c r="H61" s="8">
        <v>2.2999999999999998</v>
      </c>
      <c r="J61" s="1">
        <f t="shared" si="3"/>
        <v>55.199999999999996</v>
      </c>
      <c r="L61" s="5">
        <v>44813</v>
      </c>
    </row>
    <row r="62" spans="1:13">
      <c r="A62" s="1">
        <v>3</v>
      </c>
      <c r="B62" s="8" t="s">
        <v>3</v>
      </c>
      <c r="C62" s="9" t="s">
        <v>27</v>
      </c>
      <c r="F62" s="1">
        <f t="shared" si="2"/>
        <v>8.16</v>
      </c>
      <c r="G62" s="1">
        <v>18</v>
      </c>
      <c r="H62" s="8">
        <v>1.36</v>
      </c>
      <c r="J62" s="1">
        <f t="shared" si="3"/>
        <v>24.48</v>
      </c>
      <c r="L62" s="5">
        <v>44874</v>
      </c>
    </row>
    <row r="63" spans="1:13">
      <c r="A63" s="1">
        <v>10</v>
      </c>
      <c r="B63" s="8" t="s">
        <v>3</v>
      </c>
      <c r="C63" s="9" t="s">
        <v>27</v>
      </c>
      <c r="F63" s="1">
        <f>(J63/A63)</f>
        <v>8.16</v>
      </c>
      <c r="G63" s="1">
        <v>60</v>
      </c>
      <c r="H63" s="8">
        <v>1.36</v>
      </c>
      <c r="J63" s="1">
        <f t="shared" si="3"/>
        <v>81.600000000000009</v>
      </c>
      <c r="L63" s="5">
        <v>44956</v>
      </c>
      <c r="M63" s="1">
        <v>2023</v>
      </c>
    </row>
    <row r="64" spans="1:13">
      <c r="A64" s="1">
        <v>5</v>
      </c>
      <c r="B64" s="8" t="s">
        <v>3</v>
      </c>
      <c r="C64" s="9" t="s">
        <v>27</v>
      </c>
      <c r="F64" s="1">
        <f>(J64/A64)</f>
        <v>12</v>
      </c>
      <c r="G64" s="1">
        <v>30</v>
      </c>
      <c r="H64" s="8">
        <v>2</v>
      </c>
      <c r="J64" s="1">
        <f t="shared" si="3"/>
        <v>60</v>
      </c>
      <c r="L64" s="5">
        <v>45281</v>
      </c>
    </row>
    <row r="65" spans="1:13">
      <c r="A65" s="1">
        <v>5</v>
      </c>
      <c r="B65" s="8" t="s">
        <v>3</v>
      </c>
      <c r="C65" s="9" t="s">
        <v>27</v>
      </c>
      <c r="F65" s="1">
        <f>(J65/A65)</f>
        <v>12.299999999999999</v>
      </c>
      <c r="G65" s="1">
        <v>30</v>
      </c>
      <c r="H65" s="8">
        <v>2.0499999999999998</v>
      </c>
      <c r="J65" s="1">
        <f t="shared" si="3"/>
        <v>61.499999999999993</v>
      </c>
      <c r="L65" s="5">
        <v>45299</v>
      </c>
      <c r="M65" s="1">
        <v>2024</v>
      </c>
    </row>
    <row r="66" spans="1:13">
      <c r="A66" s="1">
        <v>2</v>
      </c>
      <c r="B66" s="8" t="s">
        <v>3</v>
      </c>
      <c r="C66" s="9" t="s">
        <v>27</v>
      </c>
      <c r="F66" s="1">
        <f>(J66/A66)</f>
        <v>13.799999999999999</v>
      </c>
      <c r="G66" s="1">
        <v>12</v>
      </c>
      <c r="H66" s="8">
        <v>2.2999999999999998</v>
      </c>
      <c r="J66" s="1">
        <f t="shared" si="3"/>
        <v>27.599999999999998</v>
      </c>
      <c r="L66" s="5">
        <v>45336</v>
      </c>
      <c r="M66" s="1">
        <v>2024</v>
      </c>
    </row>
    <row r="67" spans="1:13" s="6" customFormat="1">
      <c r="A67" s="6">
        <v>1</v>
      </c>
      <c r="B67" s="6" t="s">
        <v>3</v>
      </c>
      <c r="C67" s="7" t="s">
        <v>28</v>
      </c>
      <c r="F67" s="6">
        <f>(J67/A67)</f>
        <v>16.5</v>
      </c>
      <c r="G67" s="6">
        <v>6</v>
      </c>
      <c r="H67" s="6">
        <v>2.75</v>
      </c>
      <c r="J67" s="4">
        <f t="shared" si="3"/>
        <v>16.5</v>
      </c>
      <c r="L67" s="6">
        <v>2026</v>
      </c>
    </row>
    <row r="68" spans="1:13" s="8" customFormat="1">
      <c r="A68" s="8">
        <v>4</v>
      </c>
      <c r="B68" s="8" t="s">
        <v>3</v>
      </c>
      <c r="C68" s="9" t="s">
        <v>28</v>
      </c>
      <c r="F68" s="8">
        <f t="shared" si="2"/>
        <v>16.5</v>
      </c>
      <c r="G68" s="8">
        <v>24</v>
      </c>
      <c r="H68" s="8">
        <v>2.75</v>
      </c>
      <c r="J68" s="1">
        <f t="shared" si="3"/>
        <v>66</v>
      </c>
      <c r="L68" s="8">
        <v>2026</v>
      </c>
    </row>
    <row r="69" spans="1:13">
      <c r="A69" s="1">
        <v>2</v>
      </c>
      <c r="B69" s="8" t="s">
        <v>3</v>
      </c>
      <c r="C69" s="9" t="s">
        <v>28</v>
      </c>
      <c r="F69" s="1">
        <f t="shared" si="2"/>
        <v>16.5</v>
      </c>
      <c r="G69" s="1">
        <v>12</v>
      </c>
      <c r="H69" s="8">
        <v>2.75</v>
      </c>
      <c r="J69" s="1">
        <f>(H69*G69)</f>
        <v>33</v>
      </c>
      <c r="L69" s="5">
        <v>44881</v>
      </c>
    </row>
    <row r="70" spans="1:13">
      <c r="A70" s="1">
        <v>1</v>
      </c>
      <c r="B70" s="8" t="s">
        <v>3</v>
      </c>
      <c r="C70" s="9" t="s">
        <v>29</v>
      </c>
      <c r="F70" s="1">
        <f t="shared" si="2"/>
        <v>41.400000000000006</v>
      </c>
      <c r="G70" s="1">
        <v>6</v>
      </c>
      <c r="H70" s="8">
        <v>6.9</v>
      </c>
      <c r="J70" s="1">
        <f>(H70*G70)</f>
        <v>41.400000000000006</v>
      </c>
      <c r="L70" s="5">
        <v>44722</v>
      </c>
    </row>
    <row r="71" spans="1:13">
      <c r="A71" s="1">
        <v>2</v>
      </c>
      <c r="B71" s="8" t="s">
        <v>3</v>
      </c>
      <c r="C71" s="9" t="s">
        <v>30</v>
      </c>
      <c r="F71" s="1">
        <f t="shared" si="2"/>
        <v>27</v>
      </c>
      <c r="G71" s="1">
        <v>12</v>
      </c>
      <c r="H71" s="8">
        <v>4.5</v>
      </c>
      <c r="J71" s="1">
        <f t="shared" si="3"/>
        <v>54</v>
      </c>
      <c r="L71" s="5">
        <v>44693</v>
      </c>
    </row>
    <row r="72" spans="1:13">
      <c r="A72" s="1">
        <v>3</v>
      </c>
      <c r="B72" s="8" t="s">
        <v>3</v>
      </c>
      <c r="C72" s="9" t="s">
        <v>31</v>
      </c>
      <c r="F72" s="1">
        <f t="shared" si="2"/>
        <v>30</v>
      </c>
      <c r="G72" s="1">
        <v>18</v>
      </c>
      <c r="H72" s="8">
        <v>5</v>
      </c>
      <c r="J72" s="1">
        <f t="shared" si="3"/>
        <v>90</v>
      </c>
      <c r="L72" s="5">
        <v>44813</v>
      </c>
    </row>
    <row r="73" spans="1:13">
      <c r="A73" s="1">
        <v>1</v>
      </c>
      <c r="B73" s="8" t="s">
        <v>3</v>
      </c>
      <c r="C73" s="9" t="s">
        <v>32</v>
      </c>
      <c r="F73" s="1">
        <f t="shared" si="2"/>
        <v>45.599999999999994</v>
      </c>
      <c r="G73" s="1">
        <v>6</v>
      </c>
      <c r="H73" s="8">
        <v>7.6</v>
      </c>
      <c r="J73" s="1">
        <f t="shared" si="3"/>
        <v>45.599999999999994</v>
      </c>
      <c r="L73" s="5">
        <v>44813</v>
      </c>
    </row>
    <row r="74" spans="1:13">
      <c r="A74" s="1">
        <v>2</v>
      </c>
      <c r="B74" s="8" t="s">
        <v>3</v>
      </c>
      <c r="C74" s="9" t="s">
        <v>33</v>
      </c>
      <c r="F74" s="1">
        <f t="shared" si="2"/>
        <v>45</v>
      </c>
      <c r="G74" s="1">
        <v>12</v>
      </c>
      <c r="H74" s="8">
        <v>7.5</v>
      </c>
      <c r="J74" s="1">
        <f>(H74*G74)</f>
        <v>90</v>
      </c>
      <c r="L74" s="5">
        <v>44874</v>
      </c>
    </row>
    <row r="75" spans="1:13">
      <c r="A75" s="1">
        <v>1</v>
      </c>
      <c r="B75" s="8" t="s">
        <v>3</v>
      </c>
      <c r="C75" s="9" t="s">
        <v>33</v>
      </c>
      <c r="F75" s="1">
        <f>(J75/A75)</f>
        <v>42</v>
      </c>
      <c r="G75" s="1">
        <v>6</v>
      </c>
      <c r="H75" s="8">
        <v>7</v>
      </c>
      <c r="J75" s="1">
        <f>(H75*G75)</f>
        <v>42</v>
      </c>
      <c r="L75" s="5">
        <v>45061</v>
      </c>
      <c r="M75" s="1">
        <v>2023</v>
      </c>
    </row>
    <row r="76" spans="1:13" s="11" customFormat="1">
      <c r="B76" s="14"/>
      <c r="C76" s="15"/>
      <c r="H76" s="14"/>
      <c r="L76" s="12"/>
    </row>
    <row r="77" spans="1:13">
      <c r="A77" s="1">
        <v>14</v>
      </c>
      <c r="B77" s="8" t="s">
        <v>34</v>
      </c>
      <c r="C77" s="16" t="s">
        <v>35</v>
      </c>
      <c r="F77" s="1">
        <f t="shared" ref="F77:F91" si="4">(J77/A77)</f>
        <v>6.7200000000000006</v>
      </c>
      <c r="G77" s="1">
        <v>84</v>
      </c>
      <c r="H77" s="8">
        <v>1.1200000000000001</v>
      </c>
      <c r="J77" s="1">
        <f t="shared" si="3"/>
        <v>94.080000000000013</v>
      </c>
      <c r="L77" s="5">
        <v>44878</v>
      </c>
    </row>
    <row r="78" spans="1:13">
      <c r="A78" s="1">
        <v>20</v>
      </c>
      <c r="B78" s="8" t="s">
        <v>34</v>
      </c>
      <c r="C78" s="16" t="s">
        <v>24</v>
      </c>
      <c r="F78" s="1">
        <f t="shared" si="4"/>
        <v>7.8</v>
      </c>
      <c r="G78" s="1">
        <v>120</v>
      </c>
      <c r="H78" s="8">
        <v>1.3</v>
      </c>
      <c r="J78" s="1">
        <f t="shared" si="3"/>
        <v>156</v>
      </c>
      <c r="L78" s="1" t="s">
        <v>36</v>
      </c>
    </row>
    <row r="79" spans="1:13">
      <c r="A79" s="1">
        <v>2</v>
      </c>
      <c r="B79" s="8" t="s">
        <v>34</v>
      </c>
      <c r="C79" s="16" t="s">
        <v>24</v>
      </c>
      <c r="F79" s="1">
        <f t="shared" si="4"/>
        <v>9.120000000000001</v>
      </c>
      <c r="G79" s="1">
        <v>12</v>
      </c>
      <c r="H79" s="8">
        <v>1.52</v>
      </c>
      <c r="J79" s="1">
        <f t="shared" si="3"/>
        <v>18.240000000000002</v>
      </c>
      <c r="L79" s="5">
        <v>44662</v>
      </c>
    </row>
    <row r="80" spans="1:13">
      <c r="A80" s="1">
        <v>20</v>
      </c>
      <c r="B80" s="8" t="s">
        <v>34</v>
      </c>
      <c r="C80" s="16" t="s">
        <v>24</v>
      </c>
      <c r="F80" s="1">
        <f>(J80/A80)</f>
        <v>8.1</v>
      </c>
      <c r="G80" s="1">
        <v>120</v>
      </c>
      <c r="H80" s="8">
        <v>1.35</v>
      </c>
      <c r="J80" s="1">
        <f>(H80*G80)</f>
        <v>162</v>
      </c>
      <c r="L80" s="5">
        <v>45281</v>
      </c>
    </row>
    <row r="81" spans="1:17">
      <c r="A81" s="1">
        <v>20</v>
      </c>
      <c r="B81" s="8" t="s">
        <v>34</v>
      </c>
      <c r="C81" s="16" t="s">
        <v>24</v>
      </c>
      <c r="F81" s="1">
        <f>(J81/A81)</f>
        <v>7.08</v>
      </c>
      <c r="G81" s="1">
        <v>120</v>
      </c>
      <c r="H81" s="8">
        <v>1.18</v>
      </c>
      <c r="J81" s="1">
        <f>(H81*G81)</f>
        <v>141.6</v>
      </c>
      <c r="L81" s="5">
        <v>45299</v>
      </c>
      <c r="M81" s="1">
        <v>2024</v>
      </c>
    </row>
    <row r="82" spans="1:17">
      <c r="A82" s="1">
        <v>2</v>
      </c>
      <c r="B82" s="8" t="s">
        <v>37</v>
      </c>
      <c r="C82" s="16" t="s">
        <v>38</v>
      </c>
      <c r="F82" s="1">
        <f t="shared" si="4"/>
        <v>84.419999999999987</v>
      </c>
      <c r="G82" s="1">
        <v>84</v>
      </c>
      <c r="H82" s="8">
        <v>2.0099999999999998</v>
      </c>
      <c r="J82" s="1">
        <f t="shared" si="3"/>
        <v>168.83999999999997</v>
      </c>
      <c r="L82" s="5">
        <v>44749</v>
      </c>
    </row>
    <row r="83" spans="1:17">
      <c r="A83" s="1">
        <v>2</v>
      </c>
      <c r="B83" s="8" t="s">
        <v>39</v>
      </c>
      <c r="C83" s="16" t="s">
        <v>40</v>
      </c>
      <c r="F83" s="1">
        <f t="shared" si="4"/>
        <v>11.100000000000001</v>
      </c>
      <c r="G83" s="1">
        <v>12</v>
      </c>
      <c r="H83" s="8">
        <v>1.85</v>
      </c>
      <c r="J83" s="1">
        <f t="shared" si="3"/>
        <v>22.200000000000003</v>
      </c>
      <c r="L83" s="5">
        <v>44662</v>
      </c>
    </row>
    <row r="84" spans="1:17">
      <c r="A84" s="1">
        <v>4</v>
      </c>
      <c r="B84" s="8" t="s">
        <v>39</v>
      </c>
      <c r="C84" s="16" t="s">
        <v>27</v>
      </c>
      <c r="F84" s="1">
        <f t="shared" si="4"/>
        <v>8.3250000000000011</v>
      </c>
      <c r="G84" s="1">
        <v>18</v>
      </c>
      <c r="H84" s="8">
        <v>1.85</v>
      </c>
      <c r="J84" s="1">
        <f t="shared" si="3"/>
        <v>33.300000000000004</v>
      </c>
      <c r="Q84" s="1">
        <f>(6*1.2)</f>
        <v>7.1999999999999993</v>
      </c>
    </row>
    <row r="85" spans="1:17">
      <c r="A85" s="1">
        <v>1</v>
      </c>
      <c r="B85" s="8" t="s">
        <v>39</v>
      </c>
      <c r="C85" s="16" t="s">
        <v>28</v>
      </c>
      <c r="F85" s="1">
        <f t="shared" si="4"/>
        <v>16.200000000000003</v>
      </c>
      <c r="G85" s="1">
        <v>6</v>
      </c>
      <c r="H85" s="8">
        <v>2.7</v>
      </c>
      <c r="J85" s="1">
        <f t="shared" si="3"/>
        <v>16.200000000000003</v>
      </c>
    </row>
    <row r="86" spans="1:17">
      <c r="A86" s="1">
        <v>4</v>
      </c>
      <c r="B86" s="8" t="s">
        <v>41</v>
      </c>
      <c r="C86" s="16" t="s">
        <v>28</v>
      </c>
      <c r="F86" s="1">
        <f t="shared" si="4"/>
        <v>7.8000000000000007</v>
      </c>
      <c r="G86" s="1">
        <v>12</v>
      </c>
      <c r="H86" s="8">
        <v>2.6</v>
      </c>
      <c r="J86" s="1">
        <f>(H86*G86)</f>
        <v>31.200000000000003</v>
      </c>
      <c r="L86" s="5">
        <v>44881</v>
      </c>
    </row>
    <row r="87" spans="1:17">
      <c r="A87" s="1">
        <v>1</v>
      </c>
      <c r="B87" s="8" t="s">
        <v>39</v>
      </c>
      <c r="C87" s="16" t="s">
        <v>42</v>
      </c>
      <c r="F87" s="1">
        <f>(J87/A87)</f>
        <v>24.900000000000002</v>
      </c>
      <c r="G87" s="1">
        <v>6</v>
      </c>
      <c r="H87" s="8">
        <v>4.1500000000000004</v>
      </c>
      <c r="J87" s="1">
        <f>(H87*G87)</f>
        <v>24.900000000000002</v>
      </c>
      <c r="L87" s="5">
        <v>44945</v>
      </c>
      <c r="M87" s="1">
        <v>2023</v>
      </c>
    </row>
    <row r="88" spans="1:17">
      <c r="A88" s="1">
        <v>2</v>
      </c>
      <c r="B88" s="8" t="s">
        <v>39</v>
      </c>
      <c r="C88" s="9" t="s">
        <v>43</v>
      </c>
      <c r="F88" s="1">
        <f>(J88/A88)</f>
        <v>17.399999999999999</v>
      </c>
      <c r="G88" s="1">
        <v>12</v>
      </c>
      <c r="H88" s="8">
        <v>2.9</v>
      </c>
      <c r="J88" s="1">
        <f>(H88*G88)</f>
        <v>34.799999999999997</v>
      </c>
      <c r="L88" s="2">
        <v>45281</v>
      </c>
    </row>
    <row r="89" spans="1:17">
      <c r="A89" s="1">
        <v>2</v>
      </c>
      <c r="B89" s="8" t="s">
        <v>39</v>
      </c>
      <c r="C89" s="9" t="s">
        <v>43</v>
      </c>
      <c r="F89" s="1">
        <f>(J89/A89)</f>
        <v>17.399999999999999</v>
      </c>
      <c r="G89" s="1">
        <v>12</v>
      </c>
      <c r="H89" s="8">
        <v>2.9</v>
      </c>
      <c r="J89" s="1">
        <f>(H89*G89)</f>
        <v>34.799999999999997</v>
      </c>
      <c r="L89" s="2">
        <v>45281</v>
      </c>
    </row>
    <row r="90" spans="1:17">
      <c r="A90" s="1">
        <v>2</v>
      </c>
      <c r="B90" s="8" t="s">
        <v>39</v>
      </c>
      <c r="C90" s="9" t="s">
        <v>44</v>
      </c>
      <c r="F90" s="1">
        <f t="shared" si="4"/>
        <v>24</v>
      </c>
      <c r="G90" s="1">
        <v>12</v>
      </c>
      <c r="H90" s="8">
        <v>4</v>
      </c>
      <c r="J90" s="1">
        <f t="shared" ref="J90:J162" si="5">(H90*G90)</f>
        <v>48</v>
      </c>
    </row>
    <row r="91" spans="1:17">
      <c r="A91" s="1">
        <v>1</v>
      </c>
      <c r="B91" s="8" t="s">
        <v>39</v>
      </c>
      <c r="C91" s="16" t="s">
        <v>45</v>
      </c>
      <c r="F91" s="1">
        <f t="shared" si="4"/>
        <v>63.900000000000006</v>
      </c>
      <c r="G91" s="1">
        <v>6</v>
      </c>
      <c r="H91" s="8">
        <v>10.65</v>
      </c>
      <c r="J91" s="1">
        <f t="shared" si="5"/>
        <v>63.900000000000006</v>
      </c>
      <c r="L91" s="5">
        <v>44662</v>
      </c>
    </row>
    <row r="92" spans="1:17">
      <c r="A92" s="1">
        <v>2</v>
      </c>
      <c r="B92" s="8" t="s">
        <v>39</v>
      </c>
      <c r="C92" s="16" t="s">
        <v>45</v>
      </c>
      <c r="F92" s="1">
        <f>(J92/A92)</f>
        <v>24.599999999999998</v>
      </c>
      <c r="G92" s="1">
        <v>6</v>
      </c>
      <c r="H92" s="8">
        <v>8.1999999999999993</v>
      </c>
      <c r="J92" s="1">
        <f>(H92*G92)</f>
        <v>49.199999999999996</v>
      </c>
      <c r="L92" s="5">
        <v>45272</v>
      </c>
      <c r="M92" s="1">
        <v>2023</v>
      </c>
    </row>
    <row r="93" spans="1:17" s="11" customFormat="1">
      <c r="B93" s="14"/>
      <c r="C93" s="17"/>
      <c r="H93" s="14"/>
      <c r="L93" s="12"/>
    </row>
    <row r="94" spans="1:17" s="6" customFormat="1">
      <c r="A94" s="6">
        <v>1</v>
      </c>
      <c r="B94" s="6" t="s">
        <v>46</v>
      </c>
      <c r="C94" s="7" t="s">
        <v>47</v>
      </c>
      <c r="F94" s="6">
        <f t="shared" ref="F94:F107" si="6">(J94/A94)</f>
        <v>3.125</v>
      </c>
      <c r="G94" s="6">
        <v>2.5</v>
      </c>
      <c r="H94" s="6">
        <v>1.25</v>
      </c>
      <c r="J94" s="4">
        <f t="shared" si="5"/>
        <v>3.125</v>
      </c>
      <c r="K94" s="6">
        <f>(J94*2)</f>
        <v>6.25</v>
      </c>
      <c r="L94" s="6">
        <v>2026</v>
      </c>
    </row>
    <row r="95" spans="1:17">
      <c r="A95" s="1">
        <v>2</v>
      </c>
      <c r="B95" s="8" t="s">
        <v>46</v>
      </c>
      <c r="C95" s="9" t="s">
        <v>47</v>
      </c>
      <c r="F95" s="1">
        <f t="shared" si="6"/>
        <v>0</v>
      </c>
      <c r="G95" s="1">
        <v>5</v>
      </c>
      <c r="J95" s="1">
        <f t="shared" si="5"/>
        <v>0</v>
      </c>
      <c r="L95" s="5">
        <v>44638</v>
      </c>
    </row>
    <row r="96" spans="1:17">
      <c r="A96" s="1">
        <v>4</v>
      </c>
      <c r="B96" s="8" t="s">
        <v>46</v>
      </c>
      <c r="C96" s="9" t="s">
        <v>47</v>
      </c>
      <c r="F96" s="1">
        <f t="shared" si="6"/>
        <v>3.75</v>
      </c>
      <c r="G96" s="1">
        <v>10</v>
      </c>
      <c r="H96" s="8">
        <v>1.5</v>
      </c>
      <c r="J96" s="1">
        <f t="shared" si="5"/>
        <v>15</v>
      </c>
      <c r="L96" s="5">
        <v>44693</v>
      </c>
    </row>
    <row r="97" spans="1:13">
      <c r="A97" s="1">
        <v>5</v>
      </c>
      <c r="B97" s="8" t="s">
        <v>46</v>
      </c>
      <c r="C97" s="9" t="s">
        <v>47</v>
      </c>
      <c r="F97" s="1">
        <f t="shared" si="6"/>
        <v>3.9</v>
      </c>
      <c r="G97" s="1">
        <v>13</v>
      </c>
      <c r="H97" s="8">
        <v>1.5</v>
      </c>
      <c r="J97" s="1">
        <f t="shared" si="5"/>
        <v>19.5</v>
      </c>
      <c r="L97" s="5">
        <v>44813</v>
      </c>
    </row>
    <row r="98" spans="1:13">
      <c r="A98" s="1">
        <v>4</v>
      </c>
      <c r="B98" s="8" t="s">
        <v>46</v>
      </c>
      <c r="C98" s="9" t="s">
        <v>47</v>
      </c>
      <c r="F98" s="1">
        <f t="shared" si="6"/>
        <v>3.75</v>
      </c>
      <c r="G98" s="1">
        <v>10</v>
      </c>
      <c r="H98" s="8">
        <v>1.5</v>
      </c>
      <c r="J98" s="1">
        <f>(H98*G98)</f>
        <v>15</v>
      </c>
      <c r="K98" s="1">
        <v>44881</v>
      </c>
      <c r="L98" s="5">
        <v>44813</v>
      </c>
    </row>
    <row r="99" spans="1:13">
      <c r="A99" s="1">
        <v>6</v>
      </c>
      <c r="B99" s="8" t="s">
        <v>46</v>
      </c>
      <c r="C99" s="9" t="s">
        <v>47</v>
      </c>
      <c r="F99" s="3">
        <f>(J99/A99)</f>
        <v>2.9466666666666668</v>
      </c>
      <c r="G99" s="1">
        <v>13</v>
      </c>
      <c r="H99" s="8">
        <v>1.36</v>
      </c>
      <c r="J99" s="1">
        <f>(H99*G99)</f>
        <v>17.68</v>
      </c>
      <c r="L99" s="5">
        <v>44956</v>
      </c>
      <c r="M99" s="1">
        <v>2023</v>
      </c>
    </row>
    <row r="100" spans="1:13">
      <c r="A100" s="1">
        <v>10</v>
      </c>
      <c r="B100" s="8" t="s">
        <v>46</v>
      </c>
      <c r="C100" s="9" t="s">
        <v>47</v>
      </c>
      <c r="F100" s="3">
        <f>(J100/A100)</f>
        <v>3.2250000000000001</v>
      </c>
      <c r="G100" s="1">
        <v>25</v>
      </c>
      <c r="H100" s="8">
        <v>1.29</v>
      </c>
      <c r="J100" s="1">
        <f>(H100*G100)</f>
        <v>32.25</v>
      </c>
      <c r="K100" s="5"/>
      <c r="L100" s="5">
        <v>45061</v>
      </c>
      <c r="M100" s="1">
        <v>2023</v>
      </c>
    </row>
    <row r="101" spans="1:13">
      <c r="A101" s="1">
        <v>4</v>
      </c>
      <c r="B101" s="8" t="s">
        <v>46</v>
      </c>
      <c r="C101" s="9" t="s">
        <v>47</v>
      </c>
      <c r="F101" s="3">
        <f>(J101/A101)</f>
        <v>3</v>
      </c>
      <c r="G101" s="1">
        <v>10</v>
      </c>
      <c r="H101" s="8">
        <v>1.2</v>
      </c>
      <c r="J101" s="1">
        <f>(H101*G101)</f>
        <v>12</v>
      </c>
      <c r="K101" s="5"/>
      <c r="L101" s="5">
        <v>45336</v>
      </c>
      <c r="M101" s="6">
        <v>2026</v>
      </c>
    </row>
    <row r="102" spans="1:13">
      <c r="A102" s="1">
        <v>10</v>
      </c>
      <c r="B102" s="8" t="s">
        <v>46</v>
      </c>
      <c r="C102" s="9" t="s">
        <v>48</v>
      </c>
      <c r="F102" s="1">
        <f t="shared" si="6"/>
        <v>4.16</v>
      </c>
      <c r="G102" s="1">
        <v>32</v>
      </c>
      <c r="H102" s="8">
        <v>1.3</v>
      </c>
      <c r="J102" s="1">
        <f t="shared" si="5"/>
        <v>41.6</v>
      </c>
      <c r="L102" s="5">
        <v>44630</v>
      </c>
      <c r="M102" s="6">
        <v>2026</v>
      </c>
    </row>
    <row r="103" spans="1:13" s="6" customFormat="1">
      <c r="A103" s="6">
        <v>1</v>
      </c>
      <c r="B103" s="6" t="s">
        <v>46</v>
      </c>
      <c r="C103" s="7" t="s">
        <v>48</v>
      </c>
      <c r="F103" s="6">
        <f t="shared" si="6"/>
        <v>3.75</v>
      </c>
      <c r="G103" s="6">
        <v>3</v>
      </c>
      <c r="H103" s="6">
        <v>1.25</v>
      </c>
      <c r="J103" s="4">
        <f t="shared" si="5"/>
        <v>3.75</v>
      </c>
      <c r="L103" s="6">
        <v>2026</v>
      </c>
      <c r="M103" s="6">
        <v>2024</v>
      </c>
    </row>
    <row r="104" spans="1:13">
      <c r="A104" s="1">
        <v>2</v>
      </c>
      <c r="B104" s="8" t="s">
        <v>46</v>
      </c>
      <c r="C104" s="9" t="s">
        <v>49</v>
      </c>
      <c r="F104" s="1">
        <f t="shared" si="6"/>
        <v>7.55</v>
      </c>
      <c r="G104" s="1">
        <v>10</v>
      </c>
      <c r="H104" s="8">
        <v>1.51</v>
      </c>
      <c r="J104" s="1">
        <f t="shared" si="5"/>
        <v>15.1</v>
      </c>
      <c r="L104" s="5">
        <v>44662</v>
      </c>
    </row>
    <row r="105" spans="1:13">
      <c r="A105" s="1">
        <v>4</v>
      </c>
      <c r="B105" s="8" t="s">
        <v>46</v>
      </c>
      <c r="C105" s="9" t="s">
        <v>50</v>
      </c>
      <c r="F105" s="1">
        <f t="shared" si="6"/>
        <v>6.2</v>
      </c>
      <c r="G105" s="1">
        <v>16</v>
      </c>
      <c r="H105" s="8">
        <v>1.55</v>
      </c>
      <c r="J105" s="1">
        <f t="shared" si="5"/>
        <v>24.8</v>
      </c>
      <c r="L105" s="5">
        <v>44630</v>
      </c>
    </row>
    <row r="106" spans="1:13">
      <c r="A106" s="1">
        <v>5</v>
      </c>
      <c r="B106" s="8" t="s">
        <v>46</v>
      </c>
      <c r="C106" s="9" t="s">
        <v>50</v>
      </c>
      <c r="F106" s="1">
        <f t="shared" si="6"/>
        <v>7</v>
      </c>
      <c r="G106" s="1">
        <v>20</v>
      </c>
      <c r="H106" s="8">
        <v>1.75</v>
      </c>
      <c r="J106" s="1">
        <f t="shared" si="5"/>
        <v>35</v>
      </c>
      <c r="L106" s="5">
        <v>44638</v>
      </c>
    </row>
    <row r="107" spans="1:13" s="8" customFormat="1">
      <c r="A107" s="8">
        <v>2</v>
      </c>
      <c r="B107" s="8" t="s">
        <v>46</v>
      </c>
      <c r="C107" s="9" t="s">
        <v>51</v>
      </c>
      <c r="F107" s="8">
        <f t="shared" si="6"/>
        <v>6.25</v>
      </c>
      <c r="G107" s="8">
        <v>10</v>
      </c>
      <c r="H107" s="8">
        <v>1.25</v>
      </c>
      <c r="J107" s="1">
        <f>(H107*G107)</f>
        <v>12.5</v>
      </c>
      <c r="L107" s="8">
        <v>2026</v>
      </c>
    </row>
    <row r="108" spans="1:13" s="6" customFormat="1">
      <c r="A108" s="6">
        <v>1</v>
      </c>
      <c r="B108" s="6" t="s">
        <v>46</v>
      </c>
      <c r="C108" s="7" t="s">
        <v>51</v>
      </c>
      <c r="F108" s="6">
        <v>3.125</v>
      </c>
      <c r="G108" s="6">
        <v>5</v>
      </c>
      <c r="H108" s="6">
        <v>1.25</v>
      </c>
      <c r="J108" s="4">
        <f t="shared" ref="J108:J125" si="7">(H108*G108)</f>
        <v>6.25</v>
      </c>
      <c r="L108" s="6">
        <v>2026</v>
      </c>
    </row>
    <row r="109" spans="1:13" s="6" customFormat="1">
      <c r="A109" s="6">
        <v>1</v>
      </c>
      <c r="B109" s="6" t="s">
        <v>46</v>
      </c>
      <c r="C109" s="7" t="s">
        <v>52</v>
      </c>
      <c r="F109" s="6">
        <v>3.125</v>
      </c>
      <c r="G109" s="6">
        <v>20</v>
      </c>
      <c r="H109" s="6">
        <v>0.92</v>
      </c>
      <c r="J109" s="4">
        <f>(H109*G109)</f>
        <v>18.400000000000002</v>
      </c>
      <c r="L109" s="6">
        <v>2026</v>
      </c>
    </row>
    <row r="110" spans="1:13">
      <c r="A110" s="1">
        <v>2</v>
      </c>
      <c r="B110" s="8" t="s">
        <v>46</v>
      </c>
      <c r="C110" s="9" t="s">
        <v>51</v>
      </c>
      <c r="F110" s="1">
        <f t="shared" ref="F110:F124" si="8">(J110/A110)</f>
        <v>7.6499999999999995</v>
      </c>
      <c r="G110" s="1">
        <v>9</v>
      </c>
      <c r="H110" s="8">
        <v>1.7</v>
      </c>
      <c r="J110" s="1">
        <f t="shared" si="7"/>
        <v>15.299999999999999</v>
      </c>
      <c r="L110" s="5">
        <v>44722</v>
      </c>
    </row>
    <row r="111" spans="1:13">
      <c r="A111" s="1">
        <v>5</v>
      </c>
      <c r="B111" s="8" t="s">
        <v>46</v>
      </c>
      <c r="C111" s="9" t="s">
        <v>51</v>
      </c>
      <c r="F111" s="1">
        <f t="shared" si="8"/>
        <v>6.21</v>
      </c>
      <c r="G111" s="1">
        <v>23</v>
      </c>
      <c r="H111" s="8">
        <v>1.35</v>
      </c>
      <c r="J111" s="1">
        <f t="shared" si="7"/>
        <v>31.05</v>
      </c>
      <c r="L111" s="5">
        <v>44956</v>
      </c>
      <c r="M111" s="1">
        <v>2023</v>
      </c>
    </row>
    <row r="112" spans="1:13">
      <c r="A112" s="1">
        <v>10</v>
      </c>
      <c r="B112" s="8" t="s">
        <v>46</v>
      </c>
      <c r="C112" s="9" t="s">
        <v>51</v>
      </c>
      <c r="F112" s="1">
        <f t="shared" si="8"/>
        <v>6.0750000000000011</v>
      </c>
      <c r="G112" s="1">
        <v>45</v>
      </c>
      <c r="H112" s="8">
        <v>1.35</v>
      </c>
      <c r="J112" s="1">
        <f>(H112*G112)</f>
        <v>60.750000000000007</v>
      </c>
      <c r="L112" s="5">
        <v>45091</v>
      </c>
      <c r="M112" s="1">
        <v>2023</v>
      </c>
    </row>
    <row r="113" spans="1:13">
      <c r="A113" s="1">
        <v>5</v>
      </c>
      <c r="B113" s="8" t="s">
        <v>46</v>
      </c>
      <c r="C113" s="9" t="s">
        <v>51</v>
      </c>
      <c r="F113" s="1">
        <f t="shared" si="8"/>
        <v>5.7960000000000003</v>
      </c>
      <c r="G113" s="1">
        <v>23</v>
      </c>
      <c r="H113" s="8">
        <v>1.26</v>
      </c>
      <c r="J113" s="1">
        <f>(H113*G113)</f>
        <v>28.98</v>
      </c>
      <c r="L113" s="5">
        <v>45299</v>
      </c>
      <c r="M113" s="1">
        <v>2024</v>
      </c>
    </row>
    <row r="114" spans="1:13">
      <c r="A114" s="1">
        <v>5</v>
      </c>
      <c r="B114" s="8" t="s">
        <v>46</v>
      </c>
      <c r="C114" s="9" t="s">
        <v>51</v>
      </c>
      <c r="F114" s="1">
        <f t="shared" si="8"/>
        <v>5.52</v>
      </c>
      <c r="G114" s="1">
        <v>23</v>
      </c>
      <c r="H114" s="8">
        <v>1.2</v>
      </c>
      <c r="J114" s="1">
        <f>(H114*G114)</f>
        <v>27.599999999999998</v>
      </c>
      <c r="L114" s="5">
        <v>45399</v>
      </c>
      <c r="M114" s="1">
        <v>2024</v>
      </c>
    </row>
    <row r="115" spans="1:13">
      <c r="A115" s="1">
        <v>3</v>
      </c>
      <c r="B115" s="8" t="s">
        <v>46</v>
      </c>
      <c r="C115" s="9" t="s">
        <v>53</v>
      </c>
      <c r="F115" s="1">
        <f t="shared" si="8"/>
        <v>9.1999999999999993</v>
      </c>
      <c r="G115" s="1">
        <v>23</v>
      </c>
      <c r="H115" s="8">
        <v>1.2</v>
      </c>
      <c r="J115" s="1">
        <f>(H115*G115)</f>
        <v>27.599999999999998</v>
      </c>
      <c r="L115" s="5">
        <v>45399</v>
      </c>
      <c r="M115" s="1">
        <v>2024</v>
      </c>
    </row>
    <row r="116" spans="1:13">
      <c r="A116" s="1">
        <v>1</v>
      </c>
      <c r="B116" s="8" t="s">
        <v>46</v>
      </c>
      <c r="C116" s="9" t="s">
        <v>54</v>
      </c>
      <c r="F116" s="1">
        <f t="shared" si="8"/>
        <v>30</v>
      </c>
      <c r="G116" s="1">
        <v>20</v>
      </c>
      <c r="H116" s="8">
        <v>1.5</v>
      </c>
      <c r="J116" s="1">
        <f t="shared" si="7"/>
        <v>30</v>
      </c>
      <c r="L116" s="5">
        <v>44693</v>
      </c>
    </row>
    <row r="117" spans="1:13">
      <c r="A117" s="1">
        <v>5</v>
      </c>
      <c r="B117" s="8" t="s">
        <v>46</v>
      </c>
      <c r="C117" s="9" t="s">
        <v>54</v>
      </c>
      <c r="F117" s="1">
        <f t="shared" si="8"/>
        <v>27.72</v>
      </c>
      <c r="G117" s="1">
        <v>99</v>
      </c>
      <c r="H117" s="8">
        <v>1.4</v>
      </c>
      <c r="J117" s="1">
        <f t="shared" si="7"/>
        <v>138.6</v>
      </c>
      <c r="L117" s="5">
        <v>44722</v>
      </c>
    </row>
    <row r="118" spans="1:13">
      <c r="A118" s="1">
        <v>2</v>
      </c>
      <c r="B118" s="8" t="s">
        <v>46</v>
      </c>
      <c r="C118" s="9" t="s">
        <v>54</v>
      </c>
      <c r="F118" s="1">
        <f t="shared" si="8"/>
        <v>30</v>
      </c>
      <c r="G118" s="1">
        <v>40</v>
      </c>
      <c r="H118" s="8">
        <v>1.5</v>
      </c>
      <c r="J118" s="1">
        <f t="shared" si="7"/>
        <v>60</v>
      </c>
      <c r="L118" s="5">
        <v>44718</v>
      </c>
    </row>
    <row r="119" spans="1:13">
      <c r="A119" s="1">
        <v>2</v>
      </c>
      <c r="B119" s="8" t="s">
        <v>46</v>
      </c>
      <c r="C119" s="9" t="s">
        <v>55</v>
      </c>
      <c r="F119" s="1">
        <f t="shared" si="8"/>
        <v>12</v>
      </c>
      <c r="G119" s="1">
        <v>16</v>
      </c>
      <c r="H119" s="8">
        <v>1.5</v>
      </c>
      <c r="J119" s="1">
        <f t="shared" si="7"/>
        <v>24</v>
      </c>
      <c r="L119" s="5">
        <v>44813</v>
      </c>
    </row>
    <row r="120" spans="1:13">
      <c r="A120" s="1">
        <v>1</v>
      </c>
      <c r="B120" s="8" t="s">
        <v>46</v>
      </c>
      <c r="C120" s="9" t="s">
        <v>56</v>
      </c>
      <c r="F120" s="1">
        <f t="shared" si="8"/>
        <v>15</v>
      </c>
      <c r="G120" s="1">
        <v>10</v>
      </c>
      <c r="H120" s="8">
        <v>1.5</v>
      </c>
      <c r="J120" s="1">
        <f t="shared" si="7"/>
        <v>15</v>
      </c>
      <c r="L120" s="5">
        <v>44813</v>
      </c>
    </row>
    <row r="121" spans="1:13">
      <c r="A121" s="1">
        <v>1</v>
      </c>
      <c r="B121" s="8" t="s">
        <v>46</v>
      </c>
      <c r="C121" s="9" t="s">
        <v>56</v>
      </c>
      <c r="F121" s="1">
        <f t="shared" si="8"/>
        <v>17</v>
      </c>
      <c r="G121" s="1">
        <v>10</v>
      </c>
      <c r="H121" s="8">
        <v>1.7</v>
      </c>
      <c r="J121" s="1">
        <f t="shared" si="7"/>
        <v>17</v>
      </c>
      <c r="L121" s="5">
        <v>44945</v>
      </c>
      <c r="M121" s="1">
        <v>2023</v>
      </c>
    </row>
    <row r="122" spans="1:13">
      <c r="A122" s="1">
        <v>1</v>
      </c>
      <c r="B122" s="8" t="s">
        <v>46</v>
      </c>
      <c r="C122" s="9" t="s">
        <v>52</v>
      </c>
      <c r="F122" s="1">
        <f t="shared" si="8"/>
        <v>19.32</v>
      </c>
      <c r="G122" s="1">
        <v>20</v>
      </c>
      <c r="H122" s="8">
        <v>0.96599999999999997</v>
      </c>
      <c r="J122" s="1">
        <f>(H122*G122)</f>
        <v>19.32</v>
      </c>
      <c r="L122" s="5">
        <v>45061</v>
      </c>
      <c r="M122" s="1">
        <v>2023</v>
      </c>
    </row>
    <row r="123" spans="1:13">
      <c r="A123" s="1">
        <v>2</v>
      </c>
      <c r="B123" s="8" t="s">
        <v>46</v>
      </c>
      <c r="C123" s="9" t="s">
        <v>57</v>
      </c>
      <c r="F123" s="1">
        <f t="shared" si="8"/>
        <v>51.975000000000001</v>
      </c>
      <c r="G123" s="1">
        <v>77</v>
      </c>
      <c r="H123" s="8">
        <v>1.35</v>
      </c>
      <c r="J123" s="1">
        <f t="shared" si="7"/>
        <v>103.95</v>
      </c>
      <c r="L123" s="5">
        <v>44662</v>
      </c>
    </row>
    <row r="124" spans="1:13">
      <c r="A124" s="1">
        <v>4</v>
      </c>
      <c r="B124" s="8" t="s">
        <v>46</v>
      </c>
      <c r="C124" s="9" t="s">
        <v>58</v>
      </c>
      <c r="F124" s="1">
        <f t="shared" si="8"/>
        <v>5</v>
      </c>
      <c r="G124" s="1">
        <v>1</v>
      </c>
      <c r="H124" s="8">
        <v>20</v>
      </c>
      <c r="J124" s="1">
        <f t="shared" si="7"/>
        <v>20</v>
      </c>
    </row>
    <row r="125" spans="1:13">
      <c r="A125" s="1">
        <v>2</v>
      </c>
      <c r="B125" s="8" t="s">
        <v>59</v>
      </c>
      <c r="C125" s="9" t="s">
        <v>29</v>
      </c>
      <c r="F125" s="1">
        <v>71.5</v>
      </c>
      <c r="G125" s="1">
        <v>2</v>
      </c>
      <c r="H125" s="8">
        <v>71.5</v>
      </c>
      <c r="J125" s="1">
        <f t="shared" si="7"/>
        <v>143</v>
      </c>
      <c r="L125" s="5">
        <v>44638</v>
      </c>
    </row>
    <row r="126" spans="1:13">
      <c r="A126" s="1">
        <v>1</v>
      </c>
      <c r="B126" s="8" t="s">
        <v>60</v>
      </c>
      <c r="C126" s="9" t="s">
        <v>61</v>
      </c>
      <c r="F126" s="1">
        <v>12</v>
      </c>
      <c r="L126" s="5" t="s">
        <v>62</v>
      </c>
    </row>
    <row r="127" spans="1:13" s="11" customFormat="1">
      <c r="B127" s="14"/>
      <c r="C127" s="15"/>
      <c r="H127" s="14"/>
      <c r="L127" s="12"/>
    </row>
    <row r="128" spans="1:13">
      <c r="A128" s="1">
        <v>5</v>
      </c>
      <c r="B128" s="8" t="s">
        <v>63</v>
      </c>
      <c r="C128" s="9" t="s">
        <v>64</v>
      </c>
      <c r="F128" s="1">
        <f>(J128/A128)</f>
        <v>6.6079999999999997</v>
      </c>
      <c r="G128" s="1">
        <v>14</v>
      </c>
      <c r="H128" s="8">
        <v>2.36</v>
      </c>
      <c r="J128" s="1">
        <f t="shared" ref="J128:J144" si="9">(H128*G128)</f>
        <v>33.04</v>
      </c>
      <c r="L128" s="5">
        <v>45356</v>
      </c>
      <c r="M128" s="1">
        <v>2024</v>
      </c>
    </row>
    <row r="129" spans="1:13" s="8" customFormat="1">
      <c r="A129" s="8">
        <v>3</v>
      </c>
      <c r="B129" s="8" t="s">
        <v>63</v>
      </c>
      <c r="C129" s="9" t="s">
        <v>64</v>
      </c>
      <c r="F129" s="8">
        <f>(J129/A129)</f>
        <v>5.3599999999999994</v>
      </c>
      <c r="G129" s="8">
        <v>8</v>
      </c>
      <c r="H129" s="8">
        <v>2.0099999999999998</v>
      </c>
      <c r="J129" s="1">
        <f>(H129*G129)</f>
        <v>16.079999999999998</v>
      </c>
      <c r="L129" s="10"/>
      <c r="M129" s="8">
        <v>2026</v>
      </c>
    </row>
    <row r="130" spans="1:13">
      <c r="A130" s="1">
        <v>5</v>
      </c>
      <c r="B130" s="8" t="s">
        <v>63</v>
      </c>
      <c r="C130" s="9" t="s">
        <v>65</v>
      </c>
      <c r="F130" s="1">
        <f>(J130/A130)</f>
        <v>5.1919999999999993</v>
      </c>
      <c r="G130" s="1">
        <v>11</v>
      </c>
      <c r="H130" s="8">
        <v>2.36</v>
      </c>
      <c r="J130" s="1">
        <f t="shared" si="9"/>
        <v>25.959999999999997</v>
      </c>
      <c r="L130" s="5">
        <v>45356</v>
      </c>
      <c r="M130" s="1">
        <v>2024</v>
      </c>
    </row>
    <row r="131" spans="1:13">
      <c r="A131" s="1">
        <v>1</v>
      </c>
      <c r="B131" s="8" t="s">
        <v>66</v>
      </c>
      <c r="C131" s="9" t="s">
        <v>29</v>
      </c>
      <c r="F131" s="1">
        <f>(J131/A131)</f>
        <v>12.45</v>
      </c>
      <c r="G131" s="1">
        <v>15</v>
      </c>
      <c r="H131" s="8">
        <v>0.83</v>
      </c>
      <c r="J131" s="1">
        <f>(H131*G131)</f>
        <v>12.45</v>
      </c>
      <c r="L131" s="5">
        <v>45299</v>
      </c>
      <c r="M131" s="1">
        <v>2024</v>
      </c>
    </row>
    <row r="132" spans="1:13">
      <c r="A132" s="1">
        <v>4</v>
      </c>
      <c r="B132" s="8" t="s">
        <v>66</v>
      </c>
      <c r="C132" s="9" t="s">
        <v>67</v>
      </c>
      <c r="F132" s="1">
        <f t="shared" ref="F132:F144" si="10">(J132/A132)</f>
        <v>12.75</v>
      </c>
      <c r="G132" s="1">
        <v>34</v>
      </c>
      <c r="H132" s="8">
        <v>1.5</v>
      </c>
      <c r="J132" s="1">
        <f t="shared" si="9"/>
        <v>51</v>
      </c>
    </row>
    <row r="133" spans="1:13">
      <c r="A133" s="1">
        <v>2</v>
      </c>
      <c r="B133" s="8" t="s">
        <v>66</v>
      </c>
      <c r="C133" s="9" t="s">
        <v>51</v>
      </c>
      <c r="F133" s="1">
        <f t="shared" si="10"/>
        <v>12.75</v>
      </c>
      <c r="G133" s="1">
        <v>17</v>
      </c>
      <c r="H133" s="8">
        <v>1.5</v>
      </c>
      <c r="J133" s="1">
        <f t="shared" si="9"/>
        <v>25.5</v>
      </c>
      <c r="L133" s="1">
        <v>44687</v>
      </c>
    </row>
    <row r="134" spans="1:13">
      <c r="A134" s="1">
        <v>2</v>
      </c>
      <c r="B134" s="8" t="s">
        <v>66</v>
      </c>
      <c r="C134" s="9" t="s">
        <v>51</v>
      </c>
      <c r="F134" s="1">
        <f t="shared" si="10"/>
        <v>12.75</v>
      </c>
      <c r="G134" s="1">
        <v>17</v>
      </c>
      <c r="H134" s="8">
        <v>1.5</v>
      </c>
      <c r="J134" s="1">
        <f t="shared" si="9"/>
        <v>25.5</v>
      </c>
      <c r="L134" s="5">
        <v>44847</v>
      </c>
    </row>
    <row r="135" spans="1:13">
      <c r="A135" s="1">
        <v>5</v>
      </c>
      <c r="B135" s="8" t="s">
        <v>66</v>
      </c>
      <c r="C135" s="9" t="s">
        <v>51</v>
      </c>
      <c r="F135" s="1">
        <f>(J135/A135)</f>
        <v>7.395999999999999</v>
      </c>
      <c r="G135" s="1">
        <v>43</v>
      </c>
      <c r="H135" s="8">
        <v>0.86</v>
      </c>
      <c r="J135" s="1">
        <f t="shared" si="9"/>
        <v>36.979999999999997</v>
      </c>
      <c r="L135" s="5">
        <v>45299</v>
      </c>
      <c r="M135" s="1">
        <v>2024</v>
      </c>
    </row>
    <row r="136" spans="1:13">
      <c r="A136" s="1">
        <v>2</v>
      </c>
      <c r="B136" s="8" t="s">
        <v>66</v>
      </c>
      <c r="C136" s="9" t="s">
        <v>68</v>
      </c>
      <c r="F136" s="1">
        <f t="shared" si="10"/>
        <v>8.25</v>
      </c>
      <c r="G136" s="1">
        <v>11</v>
      </c>
      <c r="H136" s="8">
        <v>1.5</v>
      </c>
      <c r="J136" s="1">
        <f t="shared" si="9"/>
        <v>16.5</v>
      </c>
      <c r="L136" s="5">
        <v>44687</v>
      </c>
    </row>
    <row r="137" spans="1:13">
      <c r="A137" s="1">
        <v>2</v>
      </c>
      <c r="B137" s="8" t="s">
        <v>66</v>
      </c>
      <c r="C137" s="9" t="s">
        <v>68</v>
      </c>
      <c r="F137" s="1">
        <f t="shared" si="10"/>
        <v>8.25</v>
      </c>
      <c r="G137" s="1">
        <v>11</v>
      </c>
      <c r="H137" s="8">
        <v>1.5</v>
      </c>
      <c r="J137" s="1">
        <f t="shared" si="9"/>
        <v>16.5</v>
      </c>
      <c r="L137" s="5">
        <v>44722</v>
      </c>
    </row>
    <row r="138" spans="1:13">
      <c r="A138" s="1">
        <v>2</v>
      </c>
      <c r="B138" s="8" t="s">
        <v>66</v>
      </c>
      <c r="C138" s="9" t="s">
        <v>68</v>
      </c>
      <c r="F138" s="1">
        <f t="shared" si="10"/>
        <v>6.7649999999999997</v>
      </c>
      <c r="G138" s="1">
        <v>11</v>
      </c>
      <c r="H138" s="8">
        <v>1.23</v>
      </c>
      <c r="J138" s="1">
        <f>(H138*G138)</f>
        <v>13.53</v>
      </c>
      <c r="L138" s="5">
        <v>44945</v>
      </c>
      <c r="M138" s="1">
        <v>2023</v>
      </c>
    </row>
    <row r="139" spans="1:13">
      <c r="A139" s="1">
        <v>2</v>
      </c>
      <c r="B139" s="8" t="s">
        <v>66</v>
      </c>
      <c r="C139" s="9" t="s">
        <v>68</v>
      </c>
      <c r="F139" s="1">
        <f>(J139/A139)</f>
        <v>7.6999999999999993</v>
      </c>
      <c r="G139" s="1">
        <v>11</v>
      </c>
      <c r="H139" s="8">
        <v>1.4</v>
      </c>
      <c r="J139" s="1">
        <f>(H139*G139)</f>
        <v>15.399999999999999</v>
      </c>
      <c r="L139" s="5">
        <v>45399</v>
      </c>
      <c r="M139" s="1">
        <v>2024</v>
      </c>
    </row>
    <row r="140" spans="1:13">
      <c r="A140" s="1">
        <v>2</v>
      </c>
      <c r="B140" s="8" t="s">
        <v>66</v>
      </c>
      <c r="C140" s="9" t="s">
        <v>69</v>
      </c>
      <c r="F140" s="1">
        <f t="shared" si="10"/>
        <v>7.7000000000000011</v>
      </c>
      <c r="G140" s="1">
        <v>14</v>
      </c>
      <c r="H140" s="8">
        <v>1.1000000000000001</v>
      </c>
      <c r="J140" s="1">
        <f t="shared" si="9"/>
        <v>15.400000000000002</v>
      </c>
      <c r="L140" s="5">
        <v>44945</v>
      </c>
      <c r="M140" s="1">
        <v>2023</v>
      </c>
    </row>
    <row r="141" spans="1:13" ht="12" customHeight="1">
      <c r="A141" s="1">
        <v>2</v>
      </c>
      <c r="B141" s="8" t="s">
        <v>70</v>
      </c>
      <c r="C141" s="9" t="s">
        <v>71</v>
      </c>
      <c r="F141" s="1">
        <f t="shared" si="10"/>
        <v>12.75</v>
      </c>
      <c r="G141" s="1">
        <v>17</v>
      </c>
      <c r="H141" s="8">
        <v>1.5</v>
      </c>
      <c r="J141" s="1">
        <f t="shared" si="9"/>
        <v>25.5</v>
      </c>
      <c r="L141" s="5">
        <v>44847</v>
      </c>
    </row>
    <row r="142" spans="1:13" ht="12" customHeight="1">
      <c r="A142" s="1">
        <v>2</v>
      </c>
      <c r="B142" s="8" t="s">
        <v>70</v>
      </c>
      <c r="C142" s="9" t="s">
        <v>71</v>
      </c>
      <c r="F142" s="1">
        <f t="shared" si="10"/>
        <v>9.3500000000000014</v>
      </c>
      <c r="G142" s="1">
        <v>17</v>
      </c>
      <c r="H142" s="8">
        <v>1.1000000000000001</v>
      </c>
      <c r="J142" s="1">
        <f>(H142*G142)</f>
        <v>18.700000000000003</v>
      </c>
      <c r="L142" s="5">
        <v>44945</v>
      </c>
      <c r="M142" s="1">
        <v>2023</v>
      </c>
    </row>
    <row r="143" spans="1:13" ht="13.5" customHeight="1">
      <c r="A143" s="1">
        <v>3</v>
      </c>
      <c r="B143" s="8" t="s">
        <v>72</v>
      </c>
      <c r="C143" s="9">
        <v>8</v>
      </c>
      <c r="F143" s="1">
        <f t="shared" si="10"/>
        <v>15.199999999999998</v>
      </c>
      <c r="G143" s="1">
        <v>6</v>
      </c>
      <c r="H143" s="8">
        <v>7.6</v>
      </c>
      <c r="J143" s="1">
        <f t="shared" si="9"/>
        <v>45.599999999999994</v>
      </c>
      <c r="L143" s="5">
        <v>44811</v>
      </c>
    </row>
    <row r="144" spans="1:13">
      <c r="A144" s="1">
        <v>3</v>
      </c>
      <c r="B144" s="8" t="s">
        <v>4</v>
      </c>
      <c r="C144" s="9">
        <v>8</v>
      </c>
      <c r="F144" s="1">
        <f t="shared" si="10"/>
        <v>13</v>
      </c>
      <c r="G144" s="1">
        <v>26</v>
      </c>
      <c r="H144" s="8">
        <v>1.5</v>
      </c>
      <c r="J144" s="1">
        <f t="shared" si="9"/>
        <v>39</v>
      </c>
      <c r="L144" s="5">
        <v>44811</v>
      </c>
    </row>
    <row r="146" spans="1:13" s="11" customFormat="1">
      <c r="B146" s="14"/>
      <c r="C146" s="15"/>
      <c r="H146" s="14"/>
    </row>
    <row r="147" spans="1:13">
      <c r="A147" s="1">
        <v>10</v>
      </c>
      <c r="B147" s="8" t="s">
        <v>73</v>
      </c>
      <c r="C147" s="9">
        <v>8</v>
      </c>
      <c r="F147" s="1">
        <f>(J147/A147)</f>
        <v>3.75</v>
      </c>
      <c r="G147" s="1">
        <v>25</v>
      </c>
      <c r="H147" s="8">
        <v>1.5</v>
      </c>
      <c r="J147" s="1">
        <f t="shared" ref="J147:J164" si="11">(H147*G147)</f>
        <v>37.5</v>
      </c>
      <c r="L147" s="5">
        <v>44722</v>
      </c>
    </row>
    <row r="148" spans="1:13">
      <c r="A148" s="1">
        <v>1</v>
      </c>
      <c r="B148" s="8" t="s">
        <v>73</v>
      </c>
      <c r="C148" s="9">
        <v>8</v>
      </c>
      <c r="L148" s="5"/>
    </row>
    <row r="149" spans="1:13">
      <c r="A149" s="1">
        <v>5</v>
      </c>
      <c r="B149" s="8" t="s">
        <v>73</v>
      </c>
      <c r="C149" s="9">
        <v>10</v>
      </c>
      <c r="F149" s="1">
        <f t="shared" ref="F149:F165" si="12">(J149/A149)</f>
        <v>4.4000000000000004</v>
      </c>
      <c r="G149" s="1">
        <v>20</v>
      </c>
      <c r="H149" s="8">
        <v>1.1000000000000001</v>
      </c>
      <c r="J149" s="1">
        <f t="shared" si="11"/>
        <v>22</v>
      </c>
    </row>
    <row r="150" spans="1:13">
      <c r="A150" s="1">
        <v>4</v>
      </c>
      <c r="B150" s="8" t="s">
        <v>73</v>
      </c>
      <c r="C150" s="9">
        <v>10</v>
      </c>
      <c r="F150" s="1">
        <f t="shared" si="12"/>
        <v>6.4</v>
      </c>
      <c r="G150" s="1">
        <v>16</v>
      </c>
      <c r="H150" s="8">
        <v>1.6</v>
      </c>
      <c r="J150" s="1">
        <f t="shared" si="11"/>
        <v>25.6</v>
      </c>
      <c r="L150" s="5">
        <v>44638</v>
      </c>
    </row>
    <row r="151" spans="1:13">
      <c r="A151" s="1">
        <v>4</v>
      </c>
      <c r="B151" s="8" t="s">
        <v>73</v>
      </c>
      <c r="C151" s="9">
        <v>10</v>
      </c>
      <c r="F151" s="1">
        <f t="shared" si="12"/>
        <v>6</v>
      </c>
      <c r="G151" s="1">
        <v>16</v>
      </c>
      <c r="H151" s="8">
        <v>1.5</v>
      </c>
      <c r="J151" s="1">
        <f t="shared" si="11"/>
        <v>24</v>
      </c>
      <c r="L151" s="5">
        <v>44693</v>
      </c>
    </row>
    <row r="152" spans="1:13">
      <c r="A152" s="1">
        <v>5</v>
      </c>
      <c r="B152" s="8" t="s">
        <v>73</v>
      </c>
      <c r="C152" s="9">
        <v>10</v>
      </c>
      <c r="F152" s="1">
        <f t="shared" si="12"/>
        <v>5.8</v>
      </c>
      <c r="G152" s="1">
        <v>20</v>
      </c>
      <c r="H152" s="8">
        <v>1.45</v>
      </c>
      <c r="J152" s="1">
        <f t="shared" si="11"/>
        <v>29</v>
      </c>
      <c r="L152" s="5">
        <v>44722</v>
      </c>
    </row>
    <row r="153" spans="1:13">
      <c r="A153" s="1">
        <v>2</v>
      </c>
      <c r="B153" s="8" t="s">
        <v>73</v>
      </c>
      <c r="C153" s="9">
        <v>10</v>
      </c>
      <c r="F153" s="1">
        <f t="shared" si="12"/>
        <v>12</v>
      </c>
      <c r="G153" s="1">
        <v>20</v>
      </c>
      <c r="H153" s="8">
        <v>1.2</v>
      </c>
      <c r="J153" s="1">
        <f t="shared" si="11"/>
        <v>24</v>
      </c>
      <c r="L153" s="5">
        <v>44722</v>
      </c>
    </row>
    <row r="154" spans="1:13">
      <c r="A154" s="1">
        <v>2</v>
      </c>
      <c r="B154" s="8" t="s">
        <v>73</v>
      </c>
      <c r="C154" s="9">
        <v>10</v>
      </c>
      <c r="F154" s="1">
        <f t="shared" si="12"/>
        <v>12</v>
      </c>
      <c r="G154" s="1">
        <v>20</v>
      </c>
      <c r="H154" s="8">
        <v>1.2</v>
      </c>
      <c r="J154" s="1">
        <f t="shared" si="11"/>
        <v>24</v>
      </c>
      <c r="L154" s="5">
        <v>44847</v>
      </c>
    </row>
    <row r="155" spans="1:13">
      <c r="A155" s="1">
        <v>1</v>
      </c>
      <c r="B155" s="8" t="s">
        <v>73</v>
      </c>
      <c r="C155" s="9">
        <v>10</v>
      </c>
      <c r="F155" s="1">
        <f t="shared" si="12"/>
        <v>17.600000000000001</v>
      </c>
      <c r="G155" s="1">
        <v>16</v>
      </c>
      <c r="H155" s="8">
        <v>1.1000000000000001</v>
      </c>
      <c r="J155" s="1">
        <f t="shared" si="11"/>
        <v>17.600000000000001</v>
      </c>
      <c r="L155" s="5">
        <v>44881</v>
      </c>
    </row>
    <row r="156" spans="1:13">
      <c r="A156" s="1">
        <v>5</v>
      </c>
      <c r="B156" s="8" t="s">
        <v>73</v>
      </c>
      <c r="C156" s="9">
        <v>10</v>
      </c>
      <c r="F156" s="1">
        <f>(J156/A156)</f>
        <v>3.88</v>
      </c>
      <c r="G156" s="1">
        <v>20</v>
      </c>
      <c r="H156" s="8">
        <v>0.97</v>
      </c>
      <c r="J156" s="1">
        <f>(H156*G156)</f>
        <v>19.399999999999999</v>
      </c>
      <c r="L156" s="5">
        <v>45061</v>
      </c>
      <c r="M156" s="1">
        <v>2023</v>
      </c>
    </row>
    <row r="157" spans="1:13">
      <c r="A157" s="1">
        <v>2</v>
      </c>
      <c r="B157" s="8" t="s">
        <v>73</v>
      </c>
      <c r="C157" s="9">
        <v>14</v>
      </c>
      <c r="F157" s="1">
        <f>(J157/A157)</f>
        <v>7.2749999999999995</v>
      </c>
      <c r="G157" s="1">
        <v>15</v>
      </c>
      <c r="H157" s="8">
        <v>0.97</v>
      </c>
      <c r="J157" s="1">
        <f>(H157*G157)</f>
        <v>14.549999999999999</v>
      </c>
      <c r="L157" s="5">
        <v>45061</v>
      </c>
      <c r="M157" s="1">
        <v>2023</v>
      </c>
    </row>
    <row r="158" spans="1:13">
      <c r="A158" s="1">
        <v>4</v>
      </c>
      <c r="B158" s="8" t="s">
        <v>73</v>
      </c>
      <c r="C158" s="9">
        <v>20</v>
      </c>
      <c r="F158" s="1">
        <f t="shared" si="12"/>
        <v>24.8</v>
      </c>
      <c r="G158" s="1">
        <v>62</v>
      </c>
      <c r="H158" s="8">
        <v>1.6</v>
      </c>
      <c r="J158" s="1">
        <f t="shared" si="11"/>
        <v>99.2</v>
      </c>
      <c r="L158" s="5">
        <v>44847</v>
      </c>
    </row>
    <row r="159" spans="1:13">
      <c r="A159" s="1">
        <v>4</v>
      </c>
      <c r="B159" s="8" t="s">
        <v>73</v>
      </c>
      <c r="C159" s="9">
        <v>20</v>
      </c>
      <c r="F159" s="1">
        <f t="shared" si="12"/>
        <v>6.4</v>
      </c>
      <c r="G159" s="1">
        <v>16</v>
      </c>
      <c r="H159" s="8">
        <v>1.6</v>
      </c>
      <c r="J159" s="1">
        <f t="shared" si="11"/>
        <v>25.6</v>
      </c>
      <c r="L159" s="5">
        <v>44638</v>
      </c>
    </row>
    <row r="160" spans="1:13">
      <c r="A160" s="1">
        <v>7</v>
      </c>
      <c r="B160" s="8" t="s">
        <v>73</v>
      </c>
      <c r="C160" s="9">
        <v>20</v>
      </c>
      <c r="F160" s="1">
        <f t="shared" si="12"/>
        <v>23.357142857142858</v>
      </c>
      <c r="G160" s="1">
        <v>109</v>
      </c>
      <c r="H160" s="8">
        <v>1.5</v>
      </c>
      <c r="J160" s="1">
        <f t="shared" si="11"/>
        <v>163.5</v>
      </c>
      <c r="L160" s="5">
        <v>44813</v>
      </c>
    </row>
    <row r="161" spans="1:16">
      <c r="A161" s="1">
        <v>2</v>
      </c>
      <c r="B161" s="8" t="s">
        <v>73</v>
      </c>
      <c r="C161" s="9">
        <v>20</v>
      </c>
      <c r="F161" s="1">
        <f t="shared" si="12"/>
        <v>17.05</v>
      </c>
      <c r="G161" s="1">
        <v>31</v>
      </c>
      <c r="H161" s="8">
        <v>1.1000000000000001</v>
      </c>
      <c r="J161" s="1">
        <f t="shared" si="11"/>
        <v>34.1</v>
      </c>
      <c r="L161" s="5">
        <v>44881</v>
      </c>
    </row>
    <row r="162" spans="1:16">
      <c r="A162" s="1">
        <v>12</v>
      </c>
      <c r="B162" s="8" t="s">
        <v>73</v>
      </c>
      <c r="C162" s="9">
        <v>20</v>
      </c>
      <c r="F162" s="1">
        <f>(J162/A162)</f>
        <v>13.950000000000001</v>
      </c>
      <c r="G162" s="1">
        <v>186</v>
      </c>
      <c r="H162" s="8">
        <v>0.9</v>
      </c>
      <c r="J162" s="1">
        <f>(H162*G162)</f>
        <v>167.4</v>
      </c>
      <c r="L162" s="5">
        <v>45299</v>
      </c>
      <c r="M162" s="1">
        <v>2024</v>
      </c>
    </row>
    <row r="163" spans="1:16">
      <c r="A163" s="1">
        <v>4</v>
      </c>
      <c r="B163" s="8" t="s">
        <v>73</v>
      </c>
      <c r="C163" s="9">
        <v>18</v>
      </c>
      <c r="F163" s="1">
        <f t="shared" si="12"/>
        <v>10.450000000000001</v>
      </c>
      <c r="G163" s="1">
        <v>38</v>
      </c>
      <c r="H163" s="8">
        <v>1.1000000000000001</v>
      </c>
      <c r="J163" s="1">
        <f t="shared" si="11"/>
        <v>41.800000000000004</v>
      </c>
    </row>
    <row r="164" spans="1:16">
      <c r="A164" s="1">
        <v>10</v>
      </c>
      <c r="B164" s="8" t="s">
        <v>73</v>
      </c>
      <c r="C164" s="9">
        <v>18</v>
      </c>
      <c r="F164" s="1">
        <f t="shared" si="12"/>
        <v>18.75</v>
      </c>
      <c r="G164" s="1">
        <v>125</v>
      </c>
      <c r="H164" s="8">
        <v>1.5</v>
      </c>
      <c r="J164" s="1">
        <f t="shared" si="11"/>
        <v>187.5</v>
      </c>
      <c r="L164" s="5">
        <v>44811</v>
      </c>
      <c r="P164" s="1">
        <f>(4/3)</f>
        <v>1.3333333333333333</v>
      </c>
    </row>
    <row r="165" spans="1:16">
      <c r="A165" s="1">
        <v>4</v>
      </c>
      <c r="B165" s="8" t="s">
        <v>73</v>
      </c>
      <c r="C165" s="9">
        <v>18</v>
      </c>
      <c r="F165" s="1">
        <f t="shared" si="12"/>
        <v>12.5</v>
      </c>
      <c r="G165" s="1">
        <v>50</v>
      </c>
      <c r="H165" s="8">
        <v>1</v>
      </c>
      <c r="J165" s="1">
        <f>(H165*G165)</f>
        <v>50</v>
      </c>
      <c r="L165" s="5">
        <v>44956</v>
      </c>
      <c r="M165" s="1">
        <v>2023</v>
      </c>
      <c r="P165" s="1">
        <f>(4/3)</f>
        <v>1.3333333333333333</v>
      </c>
    </row>
    <row r="166" spans="1:16">
      <c r="A166" s="1">
        <v>1</v>
      </c>
      <c r="B166" s="8" t="s">
        <v>73</v>
      </c>
      <c r="C166" s="9">
        <v>10</v>
      </c>
      <c r="F166" s="1" t="s">
        <v>74</v>
      </c>
      <c r="L166" s="5"/>
      <c r="P166" s="1">
        <f>(4/3)</f>
        <v>1.3333333333333333</v>
      </c>
    </row>
    <row r="167" spans="1:16" s="11" customFormat="1">
      <c r="B167" s="14"/>
      <c r="C167" s="15"/>
      <c r="H167" s="14"/>
      <c r="L167" s="12"/>
    </row>
    <row r="168" spans="1:16" s="8" customFormat="1">
      <c r="A168" s="8">
        <v>2</v>
      </c>
      <c r="B168" s="8" t="s">
        <v>75</v>
      </c>
      <c r="C168" s="9" t="s">
        <v>76</v>
      </c>
      <c r="F168" s="8">
        <f>(J168/A168)</f>
        <v>15.299999999999999</v>
      </c>
      <c r="G168" s="8">
        <v>12</v>
      </c>
      <c r="H168" s="8">
        <v>2.5499999999999998</v>
      </c>
      <c r="J168" s="1">
        <f t="shared" ref="J168:J175" si="13">(H168*G168)</f>
        <v>30.599999999999998</v>
      </c>
      <c r="L168" s="8">
        <v>2026</v>
      </c>
    </row>
    <row r="169" spans="1:16" s="6" customFormat="1">
      <c r="A169" s="6">
        <v>1</v>
      </c>
      <c r="B169" s="6" t="s">
        <v>75</v>
      </c>
      <c r="C169" s="7" t="s">
        <v>76</v>
      </c>
      <c r="F169" s="6">
        <f>(J169/A169)</f>
        <v>15.299999999999999</v>
      </c>
      <c r="G169" s="6">
        <v>6</v>
      </c>
      <c r="H169" s="6">
        <v>2.5499999999999998</v>
      </c>
      <c r="J169" s="4">
        <f t="shared" si="13"/>
        <v>15.299999999999999</v>
      </c>
      <c r="L169" s="6">
        <v>2026</v>
      </c>
    </row>
    <row r="170" spans="1:16">
      <c r="A170" s="1">
        <v>2</v>
      </c>
      <c r="B170" s="8" t="s">
        <v>77</v>
      </c>
      <c r="C170" s="9" t="s">
        <v>78</v>
      </c>
      <c r="F170" s="1">
        <f t="shared" ref="F170:F175" si="14">(J170/A170)</f>
        <v>15.299999999999999</v>
      </c>
      <c r="G170" s="1">
        <v>12</v>
      </c>
      <c r="H170" s="8">
        <v>2.5499999999999998</v>
      </c>
      <c r="J170" s="1">
        <f t="shared" si="13"/>
        <v>30.599999999999998</v>
      </c>
      <c r="L170" s="8">
        <v>2026</v>
      </c>
    </row>
    <row r="171" spans="1:16" s="6" customFormat="1" ht="12" customHeight="1">
      <c r="A171" s="6">
        <v>1</v>
      </c>
      <c r="B171" s="6" t="s">
        <v>77</v>
      </c>
      <c r="C171" s="7" t="s">
        <v>78</v>
      </c>
      <c r="F171" s="6">
        <f t="shared" si="14"/>
        <v>15.299999999999999</v>
      </c>
      <c r="G171" s="6">
        <v>6</v>
      </c>
      <c r="H171" s="6">
        <v>2.5499999999999998</v>
      </c>
      <c r="J171" s="4">
        <f t="shared" si="13"/>
        <v>15.299999999999999</v>
      </c>
      <c r="L171" s="6">
        <v>2026</v>
      </c>
    </row>
    <row r="172" spans="1:16" ht="12" customHeight="1">
      <c r="A172" s="1">
        <v>5</v>
      </c>
      <c r="B172" s="8" t="s">
        <v>77</v>
      </c>
      <c r="C172" s="9" t="s">
        <v>78</v>
      </c>
      <c r="F172" s="1">
        <f t="shared" si="14"/>
        <v>14.52</v>
      </c>
      <c r="G172" s="1">
        <v>30</v>
      </c>
      <c r="H172" s="8">
        <v>2.42</v>
      </c>
      <c r="J172" s="1">
        <f t="shared" si="13"/>
        <v>72.599999999999994</v>
      </c>
      <c r="L172" s="5">
        <v>44907</v>
      </c>
    </row>
    <row r="173" spans="1:16" ht="12" customHeight="1">
      <c r="A173" s="1">
        <v>4</v>
      </c>
      <c r="B173" s="8" t="s">
        <v>77</v>
      </c>
      <c r="C173" s="9" t="s">
        <v>78</v>
      </c>
      <c r="F173" s="1">
        <f t="shared" si="14"/>
        <v>22.32</v>
      </c>
      <c r="G173" s="1">
        <v>36</v>
      </c>
      <c r="H173" s="8">
        <v>2.48</v>
      </c>
      <c r="J173" s="1">
        <f t="shared" si="13"/>
        <v>89.28</v>
      </c>
      <c r="L173" s="5">
        <v>45248</v>
      </c>
      <c r="M173" s="2">
        <v>45272</v>
      </c>
    </row>
    <row r="174" spans="1:16" ht="12" customHeight="1">
      <c r="A174" s="1">
        <v>2</v>
      </c>
      <c r="B174" s="8" t="s">
        <v>77</v>
      </c>
      <c r="C174" s="9" t="s">
        <v>78</v>
      </c>
      <c r="F174" s="1">
        <f t="shared" si="14"/>
        <v>13.799999999999999</v>
      </c>
      <c r="G174" s="1">
        <v>12</v>
      </c>
      <c r="H174" s="8">
        <v>2.2999999999999998</v>
      </c>
      <c r="J174" s="1">
        <f t="shared" si="13"/>
        <v>27.599999999999998</v>
      </c>
      <c r="L174" s="5">
        <v>45336</v>
      </c>
      <c r="M174" s="1">
        <v>2024</v>
      </c>
    </row>
    <row r="175" spans="1:16" ht="12" customHeight="1">
      <c r="A175" s="1">
        <v>2</v>
      </c>
      <c r="B175" s="8" t="s">
        <v>79</v>
      </c>
      <c r="C175" s="9" t="s">
        <v>78</v>
      </c>
      <c r="F175" s="1">
        <f t="shared" si="14"/>
        <v>30.599999999999998</v>
      </c>
      <c r="G175" s="1">
        <v>12</v>
      </c>
      <c r="H175" s="8">
        <v>5.0999999999999996</v>
      </c>
      <c r="J175" s="1">
        <f t="shared" si="13"/>
        <v>61.199999999999996</v>
      </c>
      <c r="L175" s="5">
        <v>45061</v>
      </c>
      <c r="M175" s="1">
        <v>2023</v>
      </c>
    </row>
    <row r="176" spans="1:16" s="11" customFormat="1" ht="12" customHeight="1">
      <c r="B176" s="14"/>
      <c r="C176" s="15"/>
      <c r="H176" s="14"/>
      <c r="L176" s="12"/>
    </row>
    <row r="177" spans="1:13" s="11" customFormat="1" ht="12" customHeight="1">
      <c r="B177" s="14"/>
      <c r="C177" s="15"/>
      <c r="H177" s="14"/>
      <c r="L177" s="12"/>
    </row>
    <row r="178" spans="1:13" s="11" customFormat="1" ht="12" customHeight="1">
      <c r="B178" s="14"/>
      <c r="C178" s="15"/>
      <c r="H178" s="14"/>
      <c r="L178" s="12"/>
    </row>
    <row r="179" spans="1:13" ht="12" customHeight="1">
      <c r="L179" s="5"/>
    </row>
    <row r="180" spans="1:13" ht="12" customHeight="1">
      <c r="A180" s="1">
        <v>4</v>
      </c>
      <c r="B180" s="8" t="s">
        <v>80</v>
      </c>
      <c r="C180" s="8" t="s">
        <v>80</v>
      </c>
      <c r="F180" s="1">
        <f>(J180/A180)</f>
        <v>8.7032000000000007</v>
      </c>
      <c r="G180" s="1">
        <v>37.840000000000003</v>
      </c>
      <c r="H180" s="8">
        <v>0.92</v>
      </c>
      <c r="J180" s="1">
        <f>(H180*G180)</f>
        <v>34.812800000000003</v>
      </c>
      <c r="L180" s="5"/>
    </row>
    <row r="181" spans="1:13">
      <c r="A181" s="1">
        <v>1</v>
      </c>
      <c r="B181" s="8" t="s">
        <v>80</v>
      </c>
      <c r="C181" s="8" t="s">
        <v>80</v>
      </c>
      <c r="F181" s="1">
        <f>(J181/A181)</f>
        <v>8.7032000000000007</v>
      </c>
      <c r="G181" s="1">
        <f>(37.84/4)</f>
        <v>9.4600000000000009</v>
      </c>
      <c r="H181" s="8">
        <v>0.92</v>
      </c>
      <c r="J181" s="1">
        <f>(H181*G181)</f>
        <v>8.7032000000000007</v>
      </c>
    </row>
    <row r="182" spans="1:13" s="8" customFormat="1">
      <c r="A182" s="8">
        <v>1</v>
      </c>
      <c r="B182" s="8" t="s">
        <v>81</v>
      </c>
      <c r="C182" s="8" t="s">
        <v>82</v>
      </c>
      <c r="F182" s="8">
        <f>(J182/A182)</f>
        <v>8.1999999999999993</v>
      </c>
      <c r="G182" s="8">
        <v>4</v>
      </c>
      <c r="H182" s="8">
        <v>2.0499999999999998</v>
      </c>
      <c r="J182" s="1">
        <f>(H182*G182)</f>
        <v>8.1999999999999993</v>
      </c>
      <c r="L182" s="8">
        <v>2026</v>
      </c>
    </row>
    <row r="183" spans="1:13" s="8" customFormat="1">
      <c r="A183" s="8">
        <v>2</v>
      </c>
      <c r="B183" s="8" t="s">
        <v>83</v>
      </c>
      <c r="C183" s="8" t="s">
        <v>84</v>
      </c>
      <c r="F183" s="8">
        <f>(J183/A183)</f>
        <v>29.865000000000002</v>
      </c>
      <c r="G183" s="8">
        <v>66</v>
      </c>
      <c r="H183" s="8">
        <v>0.90500000000000003</v>
      </c>
      <c r="J183" s="1">
        <f>(H183*G183)</f>
        <v>59.730000000000004</v>
      </c>
      <c r="L183" s="8">
        <v>2026</v>
      </c>
    </row>
    <row r="184" spans="1:13" s="11" customFormat="1">
      <c r="B184" s="14"/>
      <c r="C184" s="15"/>
      <c r="H184" s="14"/>
    </row>
    <row r="185" spans="1:13">
      <c r="A185" s="1">
        <v>2</v>
      </c>
      <c r="B185" s="8" t="s">
        <v>85</v>
      </c>
      <c r="C185" s="9" t="s">
        <v>86</v>
      </c>
      <c r="F185" s="1">
        <f>(J185/A185)</f>
        <v>20.700000000000003</v>
      </c>
      <c r="G185" s="1">
        <v>12</v>
      </c>
      <c r="H185" s="8">
        <v>3.45</v>
      </c>
      <c r="J185" s="1">
        <f>(H185*G185)</f>
        <v>41.400000000000006</v>
      </c>
      <c r="L185" s="5">
        <v>44687</v>
      </c>
    </row>
    <row r="186" spans="1:13">
      <c r="A186" s="1">
        <v>1</v>
      </c>
      <c r="B186" s="8" t="s">
        <v>85</v>
      </c>
      <c r="C186" s="9" t="s">
        <v>87</v>
      </c>
      <c r="F186" s="1">
        <f>(J186/A186)</f>
        <v>9.6000000000000014</v>
      </c>
      <c r="G186" s="1">
        <v>6</v>
      </c>
      <c r="H186" s="8">
        <v>1.6</v>
      </c>
      <c r="J186" s="1">
        <f>(H186*G186)</f>
        <v>9.6000000000000014</v>
      </c>
      <c r="L186" s="5">
        <v>44687</v>
      </c>
    </row>
    <row r="187" spans="1:13">
      <c r="A187" s="1">
        <v>2</v>
      </c>
      <c r="B187" s="8" t="s">
        <v>85</v>
      </c>
      <c r="C187" s="9" t="s">
        <v>88</v>
      </c>
      <c r="F187" s="1">
        <f>(J187/A187)</f>
        <v>20.04</v>
      </c>
      <c r="G187" s="1">
        <v>12</v>
      </c>
      <c r="H187" s="8">
        <v>3.34</v>
      </c>
      <c r="J187" s="1">
        <f>(H187*G187)</f>
        <v>40.08</v>
      </c>
      <c r="L187" s="5">
        <v>44687</v>
      </c>
    </row>
    <row r="188" spans="1:13" s="11" customFormat="1">
      <c r="B188" s="14"/>
      <c r="C188" s="15"/>
      <c r="H188" s="14"/>
    </row>
    <row r="189" spans="1:13">
      <c r="A189" s="1">
        <v>4</v>
      </c>
      <c r="B189" s="8" t="s">
        <v>89</v>
      </c>
      <c r="C189" s="9">
        <v>16</v>
      </c>
      <c r="F189" s="1">
        <f>(J189/A189)</f>
        <v>15</v>
      </c>
      <c r="G189" s="1">
        <v>40</v>
      </c>
      <c r="H189" s="8">
        <v>1.5</v>
      </c>
      <c r="J189" s="1">
        <f>(H189*G189)</f>
        <v>60</v>
      </c>
      <c r="L189" s="5">
        <v>44693</v>
      </c>
    </row>
    <row r="190" spans="1:13">
      <c r="A190" s="1">
        <v>10</v>
      </c>
      <c r="B190" s="8" t="s">
        <v>89</v>
      </c>
      <c r="C190" s="9">
        <v>16</v>
      </c>
      <c r="F190" s="1">
        <f>(J190/A190)</f>
        <v>14.5</v>
      </c>
      <c r="G190" s="1">
        <v>100</v>
      </c>
      <c r="H190" s="8">
        <v>1.45</v>
      </c>
      <c r="J190" s="1">
        <f>(H190*G190)</f>
        <v>145</v>
      </c>
      <c r="L190" s="5">
        <v>44722</v>
      </c>
    </row>
    <row r="191" spans="1:13">
      <c r="A191" s="1">
        <v>5</v>
      </c>
      <c r="B191" s="8" t="s">
        <v>90</v>
      </c>
      <c r="F191" s="1">
        <f>(J191/A191)</f>
        <v>3.6800000000000006</v>
      </c>
      <c r="G191" s="1">
        <v>20</v>
      </c>
      <c r="H191" s="8">
        <v>0.92</v>
      </c>
      <c r="J191" s="1">
        <f>(H191*G191)</f>
        <v>18.400000000000002</v>
      </c>
      <c r="L191" s="5">
        <v>45272</v>
      </c>
    </row>
    <row r="192" spans="1:13">
      <c r="A192" s="1">
        <v>2</v>
      </c>
      <c r="B192" s="8" t="s">
        <v>91</v>
      </c>
      <c r="F192" s="1">
        <f>(J192/A192)</f>
        <v>1.4249999999999998</v>
      </c>
      <c r="G192" s="1">
        <v>3</v>
      </c>
      <c r="H192" s="8">
        <v>0.95</v>
      </c>
      <c r="J192" s="1">
        <f>(H192*G192)</f>
        <v>2.8499999999999996</v>
      </c>
      <c r="L192" s="5">
        <v>45299</v>
      </c>
      <c r="M192" s="1">
        <v>2024</v>
      </c>
    </row>
    <row r="193" spans="1:13" s="11" customFormat="1">
      <c r="B193" s="14"/>
      <c r="C193" s="15"/>
      <c r="H193" s="14"/>
    </row>
    <row r="194" spans="1:13">
      <c r="A194" s="1">
        <v>2</v>
      </c>
      <c r="B194" s="8" t="s">
        <v>92</v>
      </c>
      <c r="C194" s="9">
        <v>30</v>
      </c>
      <c r="F194" s="1">
        <f t="shared" ref="F194:F202" si="15">(J194/A194)</f>
        <v>15.95</v>
      </c>
      <c r="G194" s="1">
        <v>22</v>
      </c>
      <c r="H194" s="8">
        <v>1.45</v>
      </c>
      <c r="J194" s="1">
        <f t="shared" ref="J194:J205" si="16">(H194*G194)</f>
        <v>31.9</v>
      </c>
      <c r="L194" s="5">
        <v>44687</v>
      </c>
    </row>
    <row r="195" spans="1:13">
      <c r="A195" s="1">
        <v>10</v>
      </c>
      <c r="B195" s="8" t="s">
        <v>92</v>
      </c>
      <c r="C195" s="9">
        <v>30</v>
      </c>
      <c r="F195" s="1">
        <f>(J195/A195)</f>
        <v>8.91</v>
      </c>
      <c r="G195" s="1">
        <v>110</v>
      </c>
      <c r="H195" s="8">
        <v>0.81</v>
      </c>
      <c r="J195" s="1">
        <f>(H195*G195)</f>
        <v>89.100000000000009</v>
      </c>
      <c r="L195" s="5">
        <v>44687</v>
      </c>
    </row>
    <row r="196" spans="1:13">
      <c r="A196" s="1">
        <v>1</v>
      </c>
      <c r="B196" s="8" t="s">
        <v>92</v>
      </c>
      <c r="C196" s="9">
        <v>30</v>
      </c>
      <c r="F196" s="1">
        <f>(J196/A196)</f>
        <v>16.5</v>
      </c>
      <c r="G196" s="1">
        <v>11</v>
      </c>
      <c r="H196" s="8">
        <v>1.5</v>
      </c>
      <c r="J196" s="1">
        <f>(H196*G196)</f>
        <v>16.5</v>
      </c>
      <c r="L196" s="5">
        <v>44878</v>
      </c>
    </row>
    <row r="197" spans="1:13">
      <c r="A197" s="1">
        <v>5</v>
      </c>
      <c r="B197" s="8" t="s">
        <v>92</v>
      </c>
      <c r="C197" s="9">
        <v>30</v>
      </c>
      <c r="F197" s="1">
        <f>(J197/A197)</f>
        <v>18.149999999999999</v>
      </c>
      <c r="G197" s="1">
        <v>55</v>
      </c>
      <c r="H197" s="8">
        <v>1.65</v>
      </c>
      <c r="J197" s="1">
        <f>(H197*G197)</f>
        <v>90.75</v>
      </c>
      <c r="L197" s="5">
        <v>45299</v>
      </c>
      <c r="M197" s="1">
        <v>2024</v>
      </c>
    </row>
    <row r="198" spans="1:13">
      <c r="A198" s="1">
        <v>2</v>
      </c>
      <c r="B198" s="8" t="s">
        <v>92</v>
      </c>
      <c r="C198" s="9">
        <v>40</v>
      </c>
      <c r="F198" s="1">
        <f t="shared" si="15"/>
        <v>26.824999999999999</v>
      </c>
      <c r="G198" s="1">
        <v>37</v>
      </c>
      <c r="H198" s="8">
        <v>1.45</v>
      </c>
      <c r="J198" s="1">
        <f t="shared" si="16"/>
        <v>53.65</v>
      </c>
      <c r="L198" s="5">
        <v>44722</v>
      </c>
    </row>
    <row r="199" spans="1:13">
      <c r="A199" s="1">
        <v>2</v>
      </c>
      <c r="B199" s="8" t="s">
        <v>92</v>
      </c>
      <c r="C199" s="9">
        <v>40</v>
      </c>
      <c r="F199" s="1">
        <f t="shared" si="15"/>
        <v>26.824999999999999</v>
      </c>
      <c r="G199" s="1">
        <v>37</v>
      </c>
      <c r="H199" s="8">
        <v>1.45</v>
      </c>
      <c r="J199" s="1">
        <f t="shared" si="16"/>
        <v>53.65</v>
      </c>
      <c r="L199" s="5">
        <v>44687</v>
      </c>
    </row>
    <row r="200" spans="1:13" s="11" customFormat="1">
      <c r="B200" s="14"/>
      <c r="C200" s="15"/>
      <c r="F200" s="11" t="e">
        <f t="shared" si="15"/>
        <v>#DIV/0!</v>
      </c>
      <c r="G200" s="11">
        <v>37</v>
      </c>
      <c r="H200" s="14">
        <v>1.45</v>
      </c>
      <c r="J200" s="11">
        <f t="shared" si="16"/>
        <v>53.65</v>
      </c>
    </row>
    <row r="201" spans="1:13">
      <c r="A201" s="1">
        <v>1</v>
      </c>
      <c r="B201" s="8" t="s">
        <v>93</v>
      </c>
      <c r="F201" s="1">
        <f t="shared" si="15"/>
        <v>107.96</v>
      </c>
      <c r="G201" s="1">
        <v>1</v>
      </c>
      <c r="H201" s="8">
        <v>107.96</v>
      </c>
      <c r="J201" s="1">
        <f t="shared" si="16"/>
        <v>107.96</v>
      </c>
      <c r="L201" s="1" t="s">
        <v>94</v>
      </c>
      <c r="M201" s="3">
        <f>(J201*121%)</f>
        <v>130.63159999999999</v>
      </c>
    </row>
    <row r="202" spans="1:13">
      <c r="A202" s="1">
        <v>1</v>
      </c>
      <c r="B202" s="8" t="s">
        <v>95</v>
      </c>
      <c r="F202" s="1">
        <f t="shared" si="15"/>
        <v>33.6</v>
      </c>
      <c r="G202" s="1">
        <v>2</v>
      </c>
      <c r="H202" s="8">
        <v>16.8</v>
      </c>
      <c r="J202" s="1">
        <f t="shared" si="16"/>
        <v>33.6</v>
      </c>
      <c r="L202" s="1" t="s">
        <v>94</v>
      </c>
      <c r="M202" s="13">
        <f>(J202*121%)</f>
        <v>40.655999999999999</v>
      </c>
    </row>
    <row r="204" spans="1:13" s="11" customFormat="1">
      <c r="B204" s="14"/>
      <c r="C204" s="15"/>
      <c r="H204" s="14">
        <v>1.45</v>
      </c>
      <c r="J204" s="11">
        <f t="shared" si="16"/>
        <v>0</v>
      </c>
    </row>
    <row r="205" spans="1:13">
      <c r="B205" s="8" t="s">
        <v>96</v>
      </c>
      <c r="G205" s="1">
        <v>18</v>
      </c>
      <c r="H205" s="8">
        <v>26</v>
      </c>
      <c r="J205" s="1">
        <f t="shared" si="16"/>
        <v>468</v>
      </c>
      <c r="L205" s="2">
        <v>44742</v>
      </c>
    </row>
    <row r="206" spans="1:13">
      <c r="B206" s="8" t="s">
        <v>97</v>
      </c>
    </row>
    <row r="207" spans="1:13" s="11" customFormat="1">
      <c r="B207" s="14"/>
      <c r="C207" s="15"/>
      <c r="H207" s="14"/>
    </row>
    <row r="209" spans="1:13">
      <c r="A209" s="1">
        <v>4</v>
      </c>
      <c r="B209" s="8" t="s">
        <v>98</v>
      </c>
      <c r="C209" s="9" t="s">
        <v>99</v>
      </c>
      <c r="F209" s="1">
        <f>(J209/A209)</f>
        <v>83</v>
      </c>
      <c r="G209" s="1">
        <v>8</v>
      </c>
      <c r="H209" s="8">
        <v>41.5</v>
      </c>
      <c r="J209" s="1">
        <f>(H209*G209)</f>
        <v>332</v>
      </c>
      <c r="L209" s="5">
        <v>44813</v>
      </c>
    </row>
    <row r="211" spans="1:13">
      <c r="A211" s="1">
        <v>3</v>
      </c>
      <c r="B211" s="8" t="s">
        <v>100</v>
      </c>
      <c r="C211" s="9" t="s">
        <v>99</v>
      </c>
      <c r="F211" s="1">
        <f>(J211/A211)</f>
        <v>47.76</v>
      </c>
      <c r="G211" s="1">
        <v>18</v>
      </c>
      <c r="H211" s="8">
        <v>7.96</v>
      </c>
      <c r="J211" s="1">
        <f>(H211*G211)</f>
        <v>143.28</v>
      </c>
      <c r="L211" s="5">
        <v>44813</v>
      </c>
    </row>
    <row r="214" spans="1:13">
      <c r="B214" s="8" t="s">
        <v>101</v>
      </c>
      <c r="F214" s="1">
        <v>33.6</v>
      </c>
    </row>
    <row r="216" spans="1:13">
      <c r="A216" s="1">
        <v>23.4</v>
      </c>
      <c r="B216" s="8" t="s">
        <v>102</v>
      </c>
      <c r="F216" s="1">
        <f>(J216/A216)</f>
        <v>6.5</v>
      </c>
      <c r="G216" s="1">
        <v>23.4</v>
      </c>
      <c r="H216" s="8">
        <v>6.5</v>
      </c>
      <c r="J216" s="1">
        <f>(H216*G216)</f>
        <v>152.1</v>
      </c>
      <c r="L216" s="5">
        <v>44888</v>
      </c>
    </row>
    <row r="217" spans="1:13">
      <c r="A217" s="1">
        <v>4</v>
      </c>
      <c r="B217" s="8" t="s">
        <v>103</v>
      </c>
      <c r="F217" s="1">
        <f>(J217/A217)</f>
        <v>3</v>
      </c>
      <c r="G217" s="1">
        <v>4</v>
      </c>
      <c r="H217" s="8">
        <v>3</v>
      </c>
      <c r="J217" s="1">
        <f>(H217*G217)</f>
        <v>12</v>
      </c>
      <c r="L217" s="5">
        <v>44888</v>
      </c>
    </row>
    <row r="219" spans="1:13">
      <c r="B219" s="8" t="s">
        <v>104</v>
      </c>
      <c r="F219" s="1">
        <v>6</v>
      </c>
      <c r="G219" s="1">
        <v>36.200000000000003</v>
      </c>
      <c r="H219" s="8">
        <f>(G219*F219)</f>
        <v>217.20000000000002</v>
      </c>
    </row>
    <row r="220" spans="1:13">
      <c r="B220" s="8" t="s">
        <v>105</v>
      </c>
      <c r="F220" s="1">
        <v>4</v>
      </c>
      <c r="G220" s="1">
        <v>22.45</v>
      </c>
      <c r="H220" s="8">
        <f>(G220*F220)</f>
        <v>89.8</v>
      </c>
    </row>
    <row r="221" spans="1:13">
      <c r="A221" s="1">
        <v>2</v>
      </c>
      <c r="B221" s="8" t="s">
        <v>106</v>
      </c>
      <c r="F221" s="1">
        <f>(J221/A221)</f>
        <v>51.000000000000007</v>
      </c>
      <c r="G221" s="1">
        <v>75</v>
      </c>
      <c r="H221" s="8">
        <v>1.36</v>
      </c>
      <c r="J221" s="1">
        <f>(H221*G221)</f>
        <v>102.00000000000001</v>
      </c>
      <c r="L221" s="2">
        <v>45091</v>
      </c>
      <c r="M221" s="13"/>
    </row>
    <row r="270" spans="6:10">
      <c r="F270" s="1" t="e">
        <f t="shared" ref="F270:F288" si="17">(J270/A270)</f>
        <v>#DIV/0!</v>
      </c>
      <c r="J270" s="1">
        <f t="shared" ref="J270:J288" si="18">(H270*G270)</f>
        <v>0</v>
      </c>
    </row>
    <row r="271" spans="6:10">
      <c r="F271" s="1" t="e">
        <f t="shared" si="17"/>
        <v>#DIV/0!</v>
      </c>
      <c r="J271" s="1">
        <f t="shared" si="18"/>
        <v>0</v>
      </c>
    </row>
    <row r="272" spans="6:10">
      <c r="F272" s="1" t="e">
        <f t="shared" si="17"/>
        <v>#DIV/0!</v>
      </c>
      <c r="J272" s="1">
        <f t="shared" si="18"/>
        <v>0</v>
      </c>
    </row>
    <row r="273" spans="6:10">
      <c r="F273" s="1" t="e">
        <f t="shared" si="17"/>
        <v>#DIV/0!</v>
      </c>
      <c r="J273" s="1">
        <f t="shared" si="18"/>
        <v>0</v>
      </c>
    </row>
    <row r="274" spans="6:10">
      <c r="F274" s="1" t="e">
        <f t="shared" si="17"/>
        <v>#DIV/0!</v>
      </c>
      <c r="J274" s="1">
        <f t="shared" si="18"/>
        <v>0</v>
      </c>
    </row>
    <row r="275" spans="6:10">
      <c r="F275" s="1" t="e">
        <f t="shared" si="17"/>
        <v>#DIV/0!</v>
      </c>
      <c r="J275" s="1">
        <f t="shared" si="18"/>
        <v>0</v>
      </c>
    </row>
    <row r="276" spans="6:10">
      <c r="F276" s="1" t="e">
        <f t="shared" si="17"/>
        <v>#DIV/0!</v>
      </c>
      <c r="J276" s="1">
        <f t="shared" si="18"/>
        <v>0</v>
      </c>
    </row>
    <row r="277" spans="6:10">
      <c r="F277" s="1" t="e">
        <f t="shared" si="17"/>
        <v>#DIV/0!</v>
      </c>
      <c r="J277" s="1">
        <f t="shared" si="18"/>
        <v>0</v>
      </c>
    </row>
    <row r="278" spans="6:10">
      <c r="F278" s="1" t="e">
        <f t="shared" si="17"/>
        <v>#DIV/0!</v>
      </c>
      <c r="J278" s="1">
        <f t="shared" si="18"/>
        <v>0</v>
      </c>
    </row>
    <row r="279" spans="6:10">
      <c r="F279" s="1" t="e">
        <f t="shared" si="17"/>
        <v>#DIV/0!</v>
      </c>
      <c r="J279" s="1">
        <f t="shared" si="18"/>
        <v>0</v>
      </c>
    </row>
    <row r="280" spans="6:10">
      <c r="F280" s="1" t="e">
        <f t="shared" si="17"/>
        <v>#DIV/0!</v>
      </c>
      <c r="J280" s="1">
        <f t="shared" si="18"/>
        <v>0</v>
      </c>
    </row>
    <row r="281" spans="6:10">
      <c r="F281" s="1" t="e">
        <f t="shared" si="17"/>
        <v>#DIV/0!</v>
      </c>
      <c r="J281" s="1">
        <f t="shared" si="18"/>
        <v>0</v>
      </c>
    </row>
    <row r="282" spans="6:10">
      <c r="F282" s="1" t="e">
        <f t="shared" si="17"/>
        <v>#DIV/0!</v>
      </c>
      <c r="J282" s="1">
        <f t="shared" si="18"/>
        <v>0</v>
      </c>
    </row>
    <row r="283" spans="6:10">
      <c r="F283" s="1" t="e">
        <f t="shared" si="17"/>
        <v>#DIV/0!</v>
      </c>
      <c r="J283" s="1">
        <f t="shared" si="18"/>
        <v>0</v>
      </c>
    </row>
    <row r="284" spans="6:10">
      <c r="F284" s="1" t="e">
        <f t="shared" si="17"/>
        <v>#DIV/0!</v>
      </c>
      <c r="J284" s="1">
        <f t="shared" si="18"/>
        <v>0</v>
      </c>
    </row>
    <row r="285" spans="6:10">
      <c r="F285" s="1" t="e">
        <f t="shared" si="17"/>
        <v>#DIV/0!</v>
      </c>
      <c r="J285" s="1">
        <f t="shared" si="18"/>
        <v>0</v>
      </c>
    </row>
    <row r="286" spans="6:10">
      <c r="F286" s="1" t="e">
        <f t="shared" si="17"/>
        <v>#DIV/0!</v>
      </c>
      <c r="J286" s="1">
        <f t="shared" si="18"/>
        <v>0</v>
      </c>
    </row>
    <row r="287" spans="6:10">
      <c r="F287" s="1" t="e">
        <f t="shared" si="17"/>
        <v>#DIV/0!</v>
      </c>
      <c r="J287" s="1">
        <f t="shared" si="18"/>
        <v>0</v>
      </c>
    </row>
    <row r="288" spans="6:10">
      <c r="F288" s="1" t="e">
        <f t="shared" si="17"/>
        <v>#DIV/0!</v>
      </c>
      <c r="J288" s="1">
        <f t="shared" si="18"/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CAESPAN ARGUMENT SL</dc:creator>
  <cp:lastModifiedBy>CAESPAN ARGUMENT SL</cp:lastModifiedBy>
  <dcterms:created xsi:type="dcterms:W3CDTF">2026-04-01T12:19:09Z</dcterms:created>
  <dcterms:modified xsi:type="dcterms:W3CDTF">2026-04-01T12:24:56Z</dcterms:modified>
</cp:coreProperties>
</file>