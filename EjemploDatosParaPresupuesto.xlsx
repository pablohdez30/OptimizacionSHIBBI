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ESPAN 2026\PTOS\"/>
    </mc:Choice>
  </mc:AlternateContent>
  <xr:revisionPtr revIDLastSave="0" documentId="13_ncr:1_{D368D17C-D0AB-439F-9A71-931E47DAA4E8}" xr6:coauthVersionLast="47" xr6:coauthVersionMax="47" xr10:uidLastSave="{00000000-0000-0000-0000-000000000000}"/>
  <bookViews>
    <workbookView xWindow="-120" yWindow="-120" windowWidth="29040" windowHeight="15225" xr2:uid="{2E5343FE-133B-4747-BD64-BE43C9DEF2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5" i="1" l="1"/>
  <c r="B601" i="1"/>
  <c r="B604" i="1"/>
  <c r="B594" i="1"/>
  <c r="B580" i="1"/>
  <c r="D580" i="1" s="1"/>
  <c r="C565" i="1"/>
  <c r="C566" i="1" s="1"/>
  <c r="B551" i="1"/>
  <c r="B556" i="1" s="1"/>
  <c r="B539" i="1"/>
  <c r="B543" i="1" s="1"/>
  <c r="D543" i="1" s="1"/>
  <c r="C530" i="1"/>
  <c r="C531" i="1" s="1"/>
  <c r="C524" i="1"/>
  <c r="C528" i="1" s="1"/>
  <c r="E528" i="1" s="1"/>
  <c r="F506" i="1"/>
  <c r="B494" i="1"/>
  <c r="B497" i="1" s="1"/>
  <c r="D497" i="1" s="1"/>
  <c r="D484" i="1"/>
  <c r="F484" i="1" s="1"/>
  <c r="B484" i="1"/>
  <c r="M481" i="1"/>
  <c r="B470" i="1"/>
  <c r="D470" i="1" s="1"/>
  <c r="B460" i="1"/>
  <c r="B442" i="1"/>
  <c r="B438" i="1"/>
  <c r="B443" i="1" s="1"/>
  <c r="D443" i="1" s="1"/>
  <c r="B404" i="1"/>
  <c r="D404" i="1" s="1"/>
  <c r="C378" i="1"/>
  <c r="C369" i="1"/>
  <c r="D369" i="1" s="1"/>
  <c r="C351" i="1"/>
  <c r="C347" i="1"/>
  <c r="C352" i="1" s="1"/>
  <c r="D352" i="1" s="1"/>
  <c r="C345" i="1"/>
  <c r="E345" i="1" s="1"/>
  <c r="C342" i="1"/>
  <c r="C339" i="1"/>
  <c r="E339" i="1" s="1"/>
  <c r="C311" i="1"/>
  <c r="E311" i="1" s="1"/>
  <c r="C310" i="1"/>
  <c r="M298" i="1"/>
  <c r="D298" i="1"/>
  <c r="D283" i="1"/>
  <c r="G279" i="1"/>
  <c r="B268" i="1"/>
  <c r="C263" i="1"/>
  <c r="C265" i="1" s="1"/>
  <c r="B257" i="1"/>
  <c r="C245" i="1"/>
  <c r="C247" i="1" s="1"/>
  <c r="C232" i="1"/>
  <c r="C233" i="1" s="1"/>
  <c r="B232" i="1"/>
  <c r="B233" i="1" s="1"/>
  <c r="B258" i="1" s="1"/>
  <c r="B259" i="1" s="1"/>
  <c r="G220" i="1"/>
  <c r="E219" i="1"/>
  <c r="C219" i="1"/>
  <c r="C214" i="1"/>
  <c r="C215" i="1" s="1"/>
  <c r="C216" i="1" s="1"/>
  <c r="B214" i="1"/>
  <c r="B215" i="1" s="1"/>
  <c r="B216" i="1" s="1"/>
  <c r="C191" i="1"/>
  <c r="F191" i="1" s="1"/>
  <c r="D190" i="1"/>
  <c r="C184" i="1"/>
  <c r="C170" i="1"/>
  <c r="E170" i="1" s="1"/>
  <c r="C160" i="1"/>
  <c r="D154" i="1"/>
  <c r="D160" i="1" s="1"/>
  <c r="G150" i="1"/>
  <c r="D147" i="1"/>
  <c r="D146" i="1"/>
  <c r="F149" i="1" s="1"/>
  <c r="D140" i="1"/>
  <c r="D135" i="1"/>
  <c r="D134" i="1"/>
  <c r="D143" i="1" s="1"/>
  <c r="F143" i="1" s="1"/>
  <c r="C120" i="1"/>
  <c r="C107" i="1"/>
  <c r="D107" i="1" s="1"/>
  <c r="C98" i="1"/>
  <c r="E98" i="1" s="1"/>
  <c r="B93" i="1" s="1"/>
  <c r="C87" i="1"/>
  <c r="C90" i="1" s="1"/>
  <c r="G90" i="1" s="1"/>
  <c r="B82" i="1" s="1"/>
  <c r="C79" i="1"/>
  <c r="E79" i="1" s="1"/>
  <c r="B71" i="1"/>
  <c r="C64" i="1"/>
  <c r="C62" i="1"/>
  <c r="C67" i="1" s="1"/>
  <c r="D67" i="1" s="1"/>
  <c r="D61" i="1"/>
  <c r="D69" i="1" s="1"/>
  <c r="C45" i="1"/>
  <c r="C49" i="1" s="1"/>
  <c r="E49" i="1" s="1"/>
  <c r="K41" i="1"/>
  <c r="D37" i="1"/>
  <c r="D41" i="1" s="1"/>
  <c r="G41" i="1" s="1"/>
  <c r="C37" i="1"/>
  <c r="C41" i="1" s="1"/>
  <c r="E41" i="1" s="1"/>
  <c r="C12" i="1"/>
  <c r="E12" i="1" s="1"/>
  <c r="F160" i="1" l="1"/>
</calcChain>
</file>

<file path=xl/sharedStrings.xml><?xml version="1.0" encoding="utf-8"?>
<sst xmlns="http://schemas.openxmlformats.org/spreadsheetml/2006/main" count="366" uniqueCount="275">
  <si>
    <t>ELVIRA  LA MORALEJA</t>
  </si>
  <si>
    <t>BALDA MADERA LACADA DORMITORIO BLANCA</t>
  </si>
  <si>
    <t>153 *237*20*20HCM</t>
  </si>
  <si>
    <t>3 CM ESPESOR CON COSTADO IZQ. DE 1,5CM ESPESOR</t>
  </si>
  <si>
    <t>Dm 10mm</t>
  </si>
  <si>
    <t>m Obra</t>
  </si>
  <si>
    <t>3 horas</t>
  </si>
  <si>
    <t>Lacado</t>
  </si>
  <si>
    <t>extras</t>
  </si>
  <si>
    <t>unidad</t>
  </si>
  <si>
    <t>Sin Instalación</t>
  </si>
  <si>
    <t>MUEBLE PIANO</t>
  </si>
  <si>
    <t>150*40*50HCM////150*40*54hcm</t>
  </si>
  <si>
    <t>Opcion 1:    8 cajones de 10cm+hueco</t>
  </si>
  <si>
    <t>150*40*50HCM</t>
  </si>
  <si>
    <t>Madera pino</t>
  </si>
  <si>
    <t>MUEBLE MADERA 160*50H*40CM</t>
  </si>
  <si>
    <t>Opción 2:  4 cajones de 20cm + hueco</t>
  </si>
  <si>
    <t>Opción 3:   6  cajones de 10 cm + hueco</t>
  </si>
  <si>
    <t>150 x 40x 54hcm</t>
  </si>
  <si>
    <t>Madera Pino</t>
  </si>
  <si>
    <t>Contrachapado Calabo cajones</t>
  </si>
  <si>
    <t>M. OBRA</t>
  </si>
  <si>
    <t>BARNIZ</t>
  </si>
  <si>
    <t>EXTRAS</t>
  </si>
  <si>
    <t>Guias</t>
  </si>
  <si>
    <t xml:space="preserve">Madera </t>
  </si>
  <si>
    <t>SOFA JARDIN 240*90</t>
  </si>
  <si>
    <t>2 UNIDADES</t>
  </si>
  <si>
    <t>220*80</t>
  </si>
  <si>
    <t>ESPEJO 150X120CM 12 VENTANAS</t>
  </si>
  <si>
    <t>455 Diana</t>
  </si>
  <si>
    <t>espejo</t>
  </si>
  <si>
    <t>tubo doce</t>
  </si>
  <si>
    <t>Pds 1,5 barras</t>
  </si>
  <si>
    <t>M. obra  6horas</t>
  </si>
  <si>
    <t>4 HORAS</t>
  </si>
  <si>
    <t>porte</t>
  </si>
  <si>
    <t>INDAPIN</t>
  </si>
  <si>
    <t xml:space="preserve">MESA MICROCEMENTO </t>
  </si>
  <si>
    <t>140*100*45HCM</t>
  </si>
  <si>
    <t>DM Hidrofugo 19mm</t>
  </si>
  <si>
    <t>1 tablero</t>
  </si>
  <si>
    <t>MICROCEMENTO</t>
  </si>
  <si>
    <t>M OBRA</t>
  </si>
  <si>
    <t>12 HORAS</t>
  </si>
  <si>
    <t>4+8</t>
  </si>
  <si>
    <t>MESA IROCCO</t>
  </si>
  <si>
    <t>Madera Iroco</t>
  </si>
  <si>
    <t>8 Horas</t>
  </si>
  <si>
    <t>4+4</t>
  </si>
  <si>
    <t>TABLERO ESCRITORIO DANIEL</t>
  </si>
  <si>
    <t>208 X 83/65 X 4CM</t>
  </si>
  <si>
    <t>LACADO</t>
  </si>
  <si>
    <t>BALDAS DANIEL HIERRO</t>
  </si>
  <si>
    <t>CHAPA 3MM</t>
  </si>
  <si>
    <t>DAVID WASAP 14/02/2023</t>
  </si>
  <si>
    <t>130 X 20 X 20</t>
  </si>
  <si>
    <t>ESQUINAS ACHAFLANADAS</t>
  </si>
  <si>
    <t>PINTARLA AL HORNO</t>
  </si>
  <si>
    <t>Mesa Baja cemento pie deploye</t>
  </si>
  <si>
    <t>BIOMBO LISTONES 300 X 130CM</t>
  </si>
  <si>
    <t>Estructura Hierro sujeta a suelo y techo</t>
  </si>
  <si>
    <t>LISTONES DE IROKO</t>
  </si>
  <si>
    <t>M obra</t>
  </si>
  <si>
    <t>Hierro</t>
  </si>
  <si>
    <t>CARLOS ALVARO GALAPAGAR</t>
  </si>
  <si>
    <t>Puerta baño</t>
  </si>
  <si>
    <t>140 x 250hcm</t>
  </si>
  <si>
    <t>Fijo 80cm + puerta abatible de 60cm</t>
  </si>
  <si>
    <t>Precerco de hierro</t>
  </si>
  <si>
    <t>Puerta hierro lacada al horno</t>
  </si>
  <si>
    <t>Tubo 40*20*1,5</t>
  </si>
  <si>
    <t>2,5 barras</t>
  </si>
  <si>
    <t>Junquillo 12 *12</t>
  </si>
  <si>
    <t>6 barras</t>
  </si>
  <si>
    <t>Pernios</t>
  </si>
  <si>
    <t>cerradura</t>
  </si>
  <si>
    <t>Indapin</t>
  </si>
  <si>
    <t>m obra</t>
  </si>
  <si>
    <t>CRISTALES</t>
  </si>
  <si>
    <t>MESA130*75CM*45HCM</t>
  </si>
  <si>
    <t>laminas (5+5)  130*75cm</t>
  </si>
  <si>
    <t>PLETINA 30*8</t>
  </si>
  <si>
    <t>3€/M</t>
  </si>
  <si>
    <t>junquillo</t>
  </si>
  <si>
    <t>CAJA PERRO 120*60</t>
  </si>
  <si>
    <t>barnices</t>
  </si>
  <si>
    <t>mano obra</t>
  </si>
  <si>
    <t>290-320</t>
  </si>
  <si>
    <t xml:space="preserve">PUERTA CORREDERA 4 HOJAS </t>
  </si>
  <si>
    <t>75*260</t>
  </si>
  <si>
    <t>GUIAS</t>
  </si>
  <si>
    <t>INSTALACIÓN</t>
  </si>
  <si>
    <t xml:space="preserve">Puertas </t>
  </si>
  <si>
    <t>59,2*38cm</t>
  </si>
  <si>
    <t>SEGOVIA</t>
  </si>
  <si>
    <t>Baño niños</t>
  </si>
  <si>
    <t>156*45/50* 87hcm</t>
  </si>
  <si>
    <t>Madera de FRESNO/CASTAÑO</t>
  </si>
  <si>
    <t>más</t>
  </si>
  <si>
    <t>Madera de Pino</t>
  </si>
  <si>
    <t>guias</t>
  </si>
  <si>
    <t>Espejo 140*110cm. Madera</t>
  </si>
  <si>
    <t xml:space="preserve">Espejo </t>
  </si>
  <si>
    <t>Led</t>
  </si>
  <si>
    <t>SIN INSTALACION</t>
  </si>
  <si>
    <t>Baño Principal</t>
  </si>
  <si>
    <t>120*50*78hcm</t>
  </si>
  <si>
    <t>con un solo cajon</t>
  </si>
  <si>
    <t>Madera pino  teñida color nogal tono medio</t>
  </si>
  <si>
    <t>Madera</t>
  </si>
  <si>
    <t>Espejo negro envejecido hierro</t>
  </si>
  <si>
    <t>110*120hcm</t>
  </si>
  <si>
    <t>Mampara en hierro INOX color negro</t>
  </si>
  <si>
    <t>120*96CM</t>
  </si>
  <si>
    <t>cristal</t>
  </si>
  <si>
    <t>INOX</t>
  </si>
  <si>
    <t>BAÑO ABUELOS</t>
  </si>
  <si>
    <t>115*50*78hcm</t>
  </si>
  <si>
    <t>Madera de pino color azul o verde envejecido</t>
  </si>
  <si>
    <t>barnices y pintura</t>
  </si>
  <si>
    <t>Bastidor de espejo 80*110cm con led</t>
  </si>
  <si>
    <t>En madera de pino liso, pintado en azul o verde envejecido</t>
  </si>
  <si>
    <t>led</t>
  </si>
  <si>
    <t>sin espejo</t>
  </si>
  <si>
    <t>Sin instalacion</t>
  </si>
  <si>
    <t>Mampara 100*217HCM</t>
  </si>
  <si>
    <t>pletina</t>
  </si>
  <si>
    <t>silicona</t>
  </si>
  <si>
    <t>BAÑO PRIMERA PLANTA</t>
  </si>
  <si>
    <t>113*50*78hcm</t>
  </si>
  <si>
    <t>Espejo o 80*110cm con led</t>
  </si>
  <si>
    <t>sin led</t>
  </si>
  <si>
    <t>Mampara 77*78hcm</t>
  </si>
  <si>
    <t xml:space="preserve">Vidrio </t>
  </si>
  <si>
    <t>SIN INSTALACIÓN</t>
  </si>
  <si>
    <t>BAÑO APARTAMENTO</t>
  </si>
  <si>
    <t>Mueble Hierro envejecido 100*50cm</t>
  </si>
  <si>
    <t>(NO INCLUYE LAVABO)</t>
  </si>
  <si>
    <t>Vidrio + sujección a muro y pared</t>
  </si>
  <si>
    <t>ISLA COCINA</t>
  </si>
  <si>
    <t>Macael 3cm biselado</t>
  </si>
  <si>
    <t>BLANCO IBIZA</t>
  </si>
  <si>
    <t>Mueble</t>
  </si>
  <si>
    <t>MESA DE CENTRO DE PIE DE HIERRO 120*180*45HCM</t>
  </si>
  <si>
    <t>Tubo redondo de 20</t>
  </si>
  <si>
    <t>Bastidor anhulo de 30</t>
  </si>
  <si>
    <t>madera</t>
  </si>
  <si>
    <t>indapin</t>
  </si>
  <si>
    <t>pegamentos</t>
  </si>
  <si>
    <t>SUBIRLA</t>
  </si>
  <si>
    <t>AZULEJOS SUMINISTRADOS POR NATALIA</t>
  </si>
  <si>
    <t>MESA 60*180 *45HCMDE HIERRO</t>
  </si>
  <si>
    <t>MESA 140*70*75HCM</t>
  </si>
  <si>
    <t>3 UNIDADES</t>
  </si>
  <si>
    <t>SOFA  DE HIERRO DE 160*80/85</t>
  </si>
  <si>
    <t>OPCION ECONOMICA</t>
  </si>
  <si>
    <t>COMO EL DE ELVIRA</t>
  </si>
  <si>
    <t xml:space="preserve">MESA 140*140*45h CM </t>
  </si>
  <si>
    <t>PINO VIEJO ENVEJECIDO aspecto rustico</t>
  </si>
  <si>
    <t>MESA 300*105*75HCM</t>
  </si>
  <si>
    <t>PATA TORNEADA</t>
  </si>
  <si>
    <t>el tornero nos cobra 65+iva por pata</t>
  </si>
  <si>
    <t xml:space="preserve">MADERA DE PINO DE 3CM </t>
  </si>
  <si>
    <t>Madera de roble de 2,7cm</t>
  </si>
  <si>
    <t>pata tornero</t>
  </si>
  <si>
    <t xml:space="preserve"> obra</t>
  </si>
  <si>
    <t>final!!!!!</t>
  </si>
  <si>
    <t>ESPEJO OVALADO 130*80 CM</t>
  </si>
  <si>
    <t>Cristal</t>
  </si>
  <si>
    <t>lacarlo</t>
  </si>
  <si>
    <t>PEANAS 30*38*40HCM</t>
  </si>
  <si>
    <t>6 UNIDADES</t>
  </si>
  <si>
    <t>CARLOTA</t>
  </si>
  <si>
    <t>HIERRO LACADO</t>
  </si>
  <si>
    <t>DAVID</t>
  </si>
  <si>
    <t>BALDAS NIÑOS</t>
  </si>
  <si>
    <t>Madera de castaño</t>
  </si>
  <si>
    <t>3 uidades</t>
  </si>
  <si>
    <t>56*26*5cm</t>
  </si>
  <si>
    <t>BALDA SALON</t>
  </si>
  <si>
    <t xml:space="preserve">120CM </t>
  </si>
  <si>
    <t>CUESTA DEL CERRO</t>
  </si>
  <si>
    <t>BAÑOS 3 cajones</t>
  </si>
  <si>
    <t xml:space="preserve">2 cajoneras </t>
  </si>
  <si>
    <t>material</t>
  </si>
  <si>
    <t>barniz</t>
  </si>
  <si>
    <t>Retirada y porte</t>
  </si>
  <si>
    <t>TUNEAR MESA DE CENTRO</t>
  </si>
  <si>
    <t>PONER MARCO EN CEREJEIRA</t>
  </si>
  <si>
    <t>MUELE RECICLADO</t>
  </si>
  <si>
    <t>Mueble de entrada</t>
  </si>
  <si>
    <t>98*45*100hcm</t>
  </si>
  <si>
    <t>Madera de pino con pátina</t>
  </si>
  <si>
    <t>LEÑERO</t>
  </si>
  <si>
    <t xml:space="preserve">natalia armario </t>
  </si>
  <si>
    <t>122*162H*35</t>
  </si>
  <si>
    <t>Estructura de madera con puertas de mallazo. Base en hierro</t>
  </si>
  <si>
    <t>hierro</t>
  </si>
  <si>
    <t>pintura</t>
  </si>
  <si>
    <t>PATAS TABURETE</t>
  </si>
  <si>
    <t>TABURETE COMO EL DE LA TIEND DE ANA EL REDONDO DE TRES PATAS</t>
  </si>
  <si>
    <t>ESTRUCTURA</t>
  </si>
  <si>
    <t>CON LA MADERA</t>
  </si>
  <si>
    <t xml:space="preserve"> </t>
  </si>
  <si>
    <t>MATERIAL</t>
  </si>
  <si>
    <t>PINTURA</t>
  </si>
  <si>
    <t>20 REALES</t>
  </si>
  <si>
    <t>MADERA</t>
  </si>
  <si>
    <t>Mesa 105*105*45hcm</t>
  </si>
  <si>
    <t>MUEBLE 175*50*75HCM</t>
  </si>
  <si>
    <t>HAYAMA 555 -CASSINA</t>
  </si>
  <si>
    <t>Chapa</t>
  </si>
  <si>
    <t>M Obra</t>
  </si>
  <si>
    <t>herrajes</t>
  </si>
  <si>
    <t>Tarima para cama de 120*190cm</t>
  </si>
  <si>
    <t>205+52,5cm*181cm*140cm *?</t>
  </si>
  <si>
    <t>Pintura</t>
  </si>
  <si>
    <t>Extras</t>
  </si>
  <si>
    <t>Porte e instalación</t>
  </si>
  <si>
    <t>Baldas chapa 3mm</t>
  </si>
  <si>
    <t>130*20*20cm en 2023. 245€</t>
  </si>
  <si>
    <t>Mesa madera + encofrado</t>
  </si>
  <si>
    <t>210*95*75hcm</t>
  </si>
  <si>
    <t>Pata de hierro en forma de V lacada al horno</t>
  </si>
  <si>
    <t>Baldas de chapa plegada</t>
  </si>
  <si>
    <t>5 unidades</t>
  </si>
  <si>
    <t>2023 por baldas de 120*20*20</t>
  </si>
  <si>
    <t>140*20*20cm</t>
  </si>
  <si>
    <t>Chapa 3mm</t>
  </si>
  <si>
    <t>David Pasa precio</t>
  </si>
  <si>
    <t>21 REALES EN 2MM</t>
  </si>
  <si>
    <t>30 REALES</t>
  </si>
  <si>
    <t>Mesa cerejeira</t>
  </si>
  <si>
    <t>140*140cm</t>
  </si>
  <si>
    <t xml:space="preserve">120*120cm </t>
  </si>
  <si>
    <t>Mueble TV</t>
  </si>
  <si>
    <t>420*45*44,5HCM</t>
  </si>
  <si>
    <t>3 Módulos para equipos con trasera</t>
  </si>
  <si>
    <t>Barniz</t>
  </si>
  <si>
    <t>Portes</t>
  </si>
  <si>
    <t>Mesa Despacho</t>
  </si>
  <si>
    <t>Módulo lateral con 4 cajones y Módulo de puerta con balda interior + cerradura</t>
  </si>
  <si>
    <t>100*50*71,5hcm</t>
  </si>
  <si>
    <t>Madera Rechapado Pino</t>
  </si>
  <si>
    <t xml:space="preserve">Mano obra </t>
  </si>
  <si>
    <t>Barniza</t>
  </si>
  <si>
    <t>Cerradura</t>
  </si>
  <si>
    <t>Extas</t>
  </si>
  <si>
    <t>Encimera Rechapado pino</t>
  </si>
  <si>
    <t>205*60*3cm</t>
  </si>
  <si>
    <t>Porte</t>
  </si>
  <si>
    <t>Vasile</t>
  </si>
  <si>
    <t>260*35*45-50HCM</t>
  </si>
  <si>
    <t>Tapa madera con un cajón de metal lacado al horno (45*45)</t>
  </si>
  <si>
    <t>Madera Castaño</t>
  </si>
  <si>
    <t>Pata</t>
  </si>
  <si>
    <t>Hierros</t>
  </si>
  <si>
    <t xml:space="preserve">TAPA PARA MESA </t>
  </si>
  <si>
    <t>210*120CM</t>
  </si>
  <si>
    <t>Grueso 4cm</t>
  </si>
  <si>
    <t>Roble</t>
  </si>
  <si>
    <t>Mano obra</t>
  </si>
  <si>
    <t>Microcemento</t>
  </si>
  <si>
    <t>Mano Obra</t>
  </si>
  <si>
    <t>100cm*45hcm</t>
  </si>
  <si>
    <t>80*45HCM</t>
  </si>
  <si>
    <t>MESA CEMENTO ENVEJECIDO</t>
  </si>
  <si>
    <t>ESPEJO 130*120CM</t>
  </si>
  <si>
    <t>PUERTA DE ARMARIO CON ESPEJO</t>
  </si>
  <si>
    <t xml:space="preserve">espejo </t>
  </si>
  <si>
    <t>Porte e Instalación NO incluida</t>
  </si>
  <si>
    <t>CERCO DE ANGULO</t>
  </si>
  <si>
    <t>LACADO AL HORNO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</si>
</sst>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1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20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/>
    <xf numFmtId="6" fontId="0" fillId="0" borderId="0" xfId="0" applyNumberForma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5919-A33F-4639-A791-4823DB352222}">
  <dimension ref="A1:M618"/>
  <sheetViews>
    <sheetView tabSelected="1" topLeftCell="A600" workbookViewId="0">
      <selection activeCell="J612" sqref="J612"/>
    </sheetView>
  </sheetViews>
  <sheetFormatPr baseColWidth="10" defaultRowHeight="15" x14ac:dyDescent="0.25"/>
  <cols>
    <col min="1" max="1" width="34.140625" customWidth="1"/>
  </cols>
  <sheetData>
    <row r="1" spans="1:8" ht="19.5" x14ac:dyDescent="0.3">
      <c r="A1" s="1" t="s">
        <v>0</v>
      </c>
    </row>
    <row r="3" spans="1:8" x14ac:dyDescent="0.25">
      <c r="A3" s="2" t="s">
        <v>1</v>
      </c>
    </row>
    <row r="4" spans="1:8" x14ac:dyDescent="0.25">
      <c r="A4" t="s">
        <v>2</v>
      </c>
    </row>
    <row r="5" spans="1:8" x14ac:dyDescent="0.25">
      <c r="A5" t="s">
        <v>3</v>
      </c>
    </row>
    <row r="8" spans="1:8" x14ac:dyDescent="0.25">
      <c r="A8" t="s">
        <v>4</v>
      </c>
      <c r="B8">
        <v>1</v>
      </c>
      <c r="C8">
        <v>25</v>
      </c>
    </row>
    <row r="9" spans="1:8" x14ac:dyDescent="0.25">
      <c r="A9" t="s">
        <v>5</v>
      </c>
      <c r="B9" t="s">
        <v>6</v>
      </c>
      <c r="C9">
        <v>75</v>
      </c>
    </row>
    <row r="10" spans="1:8" x14ac:dyDescent="0.25">
      <c r="A10" t="s">
        <v>7</v>
      </c>
      <c r="C10">
        <v>70</v>
      </c>
    </row>
    <row r="11" spans="1:8" x14ac:dyDescent="0.25">
      <c r="A11" t="s">
        <v>8</v>
      </c>
      <c r="C11">
        <v>15</v>
      </c>
    </row>
    <row r="12" spans="1:8" x14ac:dyDescent="0.25">
      <c r="C12">
        <f>SUM(C8:C11)</f>
        <v>185</v>
      </c>
      <c r="E12">
        <f>(C12*2)</f>
        <v>370</v>
      </c>
      <c r="G12" s="2">
        <v>450</v>
      </c>
      <c r="H12" t="s">
        <v>9</v>
      </c>
    </row>
    <row r="15" spans="1:8" x14ac:dyDescent="0.25">
      <c r="A15" s="3" t="s">
        <v>10</v>
      </c>
    </row>
    <row r="18" spans="1:6" x14ac:dyDescent="0.25">
      <c r="A18" s="2" t="s">
        <v>11</v>
      </c>
    </row>
    <row r="19" spans="1:6" x14ac:dyDescent="0.25">
      <c r="A19" t="s">
        <v>12</v>
      </c>
    </row>
    <row r="21" spans="1:6" x14ac:dyDescent="0.25">
      <c r="A21" s="4" t="s">
        <v>13</v>
      </c>
    </row>
    <row r="22" spans="1:6" x14ac:dyDescent="0.25">
      <c r="A22" t="s">
        <v>14</v>
      </c>
    </row>
    <row r="24" spans="1:6" x14ac:dyDescent="0.25">
      <c r="A24" t="s">
        <v>15</v>
      </c>
    </row>
    <row r="26" spans="1:6" x14ac:dyDescent="0.25">
      <c r="A26" s="2" t="s">
        <v>16</v>
      </c>
    </row>
    <row r="27" spans="1:6" x14ac:dyDescent="0.25">
      <c r="F27" s="2"/>
    </row>
    <row r="28" spans="1:6" x14ac:dyDescent="0.25">
      <c r="A28" s="4" t="s">
        <v>17</v>
      </c>
    </row>
    <row r="32" spans="1:6" x14ac:dyDescent="0.25">
      <c r="A32" s="4" t="s">
        <v>18</v>
      </c>
    </row>
    <row r="33" spans="1:11" x14ac:dyDescent="0.25">
      <c r="A33" t="s">
        <v>19</v>
      </c>
    </row>
    <row r="35" spans="1:11" x14ac:dyDescent="0.25">
      <c r="A35" t="s">
        <v>20</v>
      </c>
      <c r="C35">
        <v>120</v>
      </c>
      <c r="D35">
        <v>120</v>
      </c>
    </row>
    <row r="36" spans="1:11" x14ac:dyDescent="0.25">
      <c r="A36" t="s">
        <v>21</v>
      </c>
      <c r="C36">
        <v>60</v>
      </c>
      <c r="D36">
        <v>60</v>
      </c>
    </row>
    <row r="37" spans="1:11" x14ac:dyDescent="0.25">
      <c r="A37" t="s">
        <v>22</v>
      </c>
      <c r="C37">
        <f>(20*25)</f>
        <v>500</v>
      </c>
      <c r="D37">
        <f>(20*25)</f>
        <v>500</v>
      </c>
    </row>
    <row r="38" spans="1:11" x14ac:dyDescent="0.25">
      <c r="A38" t="s">
        <v>23</v>
      </c>
      <c r="C38">
        <v>15</v>
      </c>
      <c r="D38">
        <v>15</v>
      </c>
      <c r="E38" s="3"/>
    </row>
    <row r="39" spans="1:11" x14ac:dyDescent="0.25">
      <c r="A39" t="s">
        <v>24</v>
      </c>
      <c r="C39">
        <v>20</v>
      </c>
      <c r="D39">
        <v>20</v>
      </c>
      <c r="E39" s="3"/>
    </row>
    <row r="40" spans="1:11" x14ac:dyDescent="0.25">
      <c r="A40" t="s">
        <v>25</v>
      </c>
      <c r="C40">
        <v>60</v>
      </c>
      <c r="D40">
        <v>40</v>
      </c>
      <c r="E40" s="3"/>
      <c r="F40" s="2"/>
    </row>
    <row r="41" spans="1:11" x14ac:dyDescent="0.25">
      <c r="C41">
        <f>SUM(C33:C40)</f>
        <v>775</v>
      </c>
      <c r="D41">
        <f>SUM(D33:D40)</f>
        <v>755</v>
      </c>
      <c r="E41" s="2">
        <f>(C41*2)</f>
        <v>1550</v>
      </c>
      <c r="G41">
        <f>(D41*2)</f>
        <v>1510</v>
      </c>
      <c r="I41">
        <v>1495</v>
      </c>
      <c r="K41">
        <f>(I41*120%)</f>
        <v>1794</v>
      </c>
    </row>
    <row r="42" spans="1:11" x14ac:dyDescent="0.25">
      <c r="E42" s="3"/>
    </row>
    <row r="43" spans="1:11" x14ac:dyDescent="0.25">
      <c r="A43" t="s">
        <v>26</v>
      </c>
      <c r="C43">
        <v>240</v>
      </c>
      <c r="E43" s="3"/>
    </row>
    <row r="44" spans="1:11" x14ac:dyDescent="0.25">
      <c r="A44" t="s">
        <v>21</v>
      </c>
      <c r="C44">
        <v>60</v>
      </c>
      <c r="E44" s="3"/>
    </row>
    <row r="45" spans="1:11" x14ac:dyDescent="0.25">
      <c r="A45" t="s">
        <v>22</v>
      </c>
      <c r="C45">
        <f>(20*25)</f>
        <v>500</v>
      </c>
      <c r="E45" s="3"/>
    </row>
    <row r="46" spans="1:11" x14ac:dyDescent="0.25">
      <c r="A46" t="s">
        <v>23</v>
      </c>
      <c r="C46">
        <v>15</v>
      </c>
      <c r="E46" s="3"/>
    </row>
    <row r="47" spans="1:11" x14ac:dyDescent="0.25">
      <c r="A47" t="s">
        <v>24</v>
      </c>
      <c r="C47">
        <v>20</v>
      </c>
      <c r="E47" s="3"/>
    </row>
    <row r="48" spans="1:11" x14ac:dyDescent="0.25">
      <c r="A48" t="s">
        <v>25</v>
      </c>
      <c r="C48">
        <v>60</v>
      </c>
      <c r="E48" s="3"/>
      <c r="F48" s="2"/>
    </row>
    <row r="49" spans="1:10" x14ac:dyDescent="0.25">
      <c r="C49">
        <f>SUM(C43:C48)</f>
        <v>895</v>
      </c>
      <c r="E49" s="2">
        <f>(C49*2)</f>
        <v>1790</v>
      </c>
    </row>
    <row r="50" spans="1:10" x14ac:dyDescent="0.25">
      <c r="E50" s="2"/>
    </row>
    <row r="51" spans="1:10" x14ac:dyDescent="0.25">
      <c r="E51" s="2"/>
    </row>
    <row r="52" spans="1:10" x14ac:dyDescent="0.25">
      <c r="A52" s="2" t="s">
        <v>27</v>
      </c>
      <c r="D52" t="s">
        <v>28</v>
      </c>
    </row>
    <row r="55" spans="1:10" x14ac:dyDescent="0.25">
      <c r="A55" t="s">
        <v>29</v>
      </c>
      <c r="B55">
        <v>1150</v>
      </c>
      <c r="C55">
        <v>2021</v>
      </c>
      <c r="E55" s="2">
        <v>1440</v>
      </c>
    </row>
    <row r="59" spans="1:10" x14ac:dyDescent="0.25">
      <c r="A59" s="2" t="s">
        <v>30</v>
      </c>
      <c r="E59" t="s">
        <v>31</v>
      </c>
      <c r="G59" s="2">
        <v>540</v>
      </c>
    </row>
    <row r="60" spans="1:10" ht="15.75" x14ac:dyDescent="0.25">
      <c r="A60" s="5"/>
      <c r="C60" s="6"/>
    </row>
    <row r="61" spans="1:10" x14ac:dyDescent="0.25">
      <c r="A61" t="s">
        <v>32</v>
      </c>
      <c r="B61">
        <v>72</v>
      </c>
      <c r="D61">
        <f>(B61*130%)+30</f>
        <v>123.60000000000001</v>
      </c>
    </row>
    <row r="62" spans="1:10" ht="15.75" x14ac:dyDescent="0.25">
      <c r="A62" t="s">
        <v>33</v>
      </c>
      <c r="B62">
        <v>2</v>
      </c>
      <c r="C62" s="6">
        <f>(2*7.5)</f>
        <v>15</v>
      </c>
      <c r="J62">
        <v>1.6</v>
      </c>
    </row>
    <row r="63" spans="1:10" ht="15.75" x14ac:dyDescent="0.25">
      <c r="A63" t="s">
        <v>34</v>
      </c>
      <c r="B63">
        <v>1</v>
      </c>
      <c r="C63" s="6">
        <v>21</v>
      </c>
      <c r="J63">
        <v>1.6</v>
      </c>
    </row>
    <row r="64" spans="1:10" ht="15.75" x14ac:dyDescent="0.25">
      <c r="A64" t="s">
        <v>35</v>
      </c>
      <c r="B64" t="s">
        <v>36</v>
      </c>
      <c r="C64" s="6">
        <f>(4*25)</f>
        <v>100</v>
      </c>
      <c r="F64" s="6"/>
      <c r="J64">
        <v>1.6</v>
      </c>
    </row>
    <row r="65" spans="1:10" ht="15.75" x14ac:dyDescent="0.25">
      <c r="A65" t="s">
        <v>37</v>
      </c>
      <c r="C65">
        <v>10</v>
      </c>
      <c r="D65" s="6"/>
      <c r="J65">
        <v>1.2</v>
      </c>
    </row>
    <row r="66" spans="1:10" ht="15.75" x14ac:dyDescent="0.25">
      <c r="A66" t="s">
        <v>38</v>
      </c>
      <c r="C66" s="6">
        <v>42</v>
      </c>
      <c r="D66" s="6"/>
    </row>
    <row r="67" spans="1:10" ht="15.75" x14ac:dyDescent="0.25">
      <c r="C67" s="6">
        <f>SUM(C61:C66)</f>
        <v>188</v>
      </c>
      <c r="D67">
        <f>(C67*2)</f>
        <v>376</v>
      </c>
    </row>
    <row r="68" spans="1:10" ht="15.75" x14ac:dyDescent="0.25">
      <c r="C68" s="6"/>
    </row>
    <row r="69" spans="1:10" ht="15.75" x14ac:dyDescent="0.25">
      <c r="C69" s="6"/>
      <c r="D69">
        <f>SUM(D61:D67)</f>
        <v>499.6</v>
      </c>
    </row>
    <row r="70" spans="1:10" x14ac:dyDescent="0.25">
      <c r="A70" s="2"/>
    </row>
    <row r="71" spans="1:10" x14ac:dyDescent="0.25">
      <c r="A71" s="2" t="s">
        <v>39</v>
      </c>
      <c r="B71">
        <f>(G79)</f>
        <v>1100</v>
      </c>
    </row>
    <row r="72" spans="1:10" x14ac:dyDescent="0.25">
      <c r="A72" t="s">
        <v>40</v>
      </c>
    </row>
    <row r="74" spans="1:10" x14ac:dyDescent="0.25">
      <c r="A74" t="s">
        <v>41</v>
      </c>
      <c r="B74" t="s">
        <v>42</v>
      </c>
      <c r="C74">
        <v>100</v>
      </c>
    </row>
    <row r="75" spans="1:10" x14ac:dyDescent="0.25">
      <c r="A75" t="s">
        <v>43</v>
      </c>
      <c r="C75">
        <v>50</v>
      </c>
    </row>
    <row r="76" spans="1:10" x14ac:dyDescent="0.25">
      <c r="A76" t="s">
        <v>44</v>
      </c>
      <c r="B76" t="s">
        <v>45</v>
      </c>
      <c r="C76">
        <v>300</v>
      </c>
      <c r="E76" t="s">
        <v>46</v>
      </c>
    </row>
    <row r="77" spans="1:10" x14ac:dyDescent="0.25">
      <c r="A77" t="s">
        <v>23</v>
      </c>
      <c r="C77">
        <v>15</v>
      </c>
    </row>
    <row r="78" spans="1:10" x14ac:dyDescent="0.25">
      <c r="A78" t="s">
        <v>24</v>
      </c>
      <c r="C78">
        <v>15</v>
      </c>
    </row>
    <row r="79" spans="1:10" x14ac:dyDescent="0.25">
      <c r="C79">
        <f>SUM(C74:C78)</f>
        <v>480</v>
      </c>
      <c r="E79">
        <f>(C79*2)</f>
        <v>960</v>
      </c>
      <c r="G79" s="2">
        <v>1100</v>
      </c>
      <c r="J79" s="4">
        <v>980</v>
      </c>
    </row>
    <row r="82" spans="1:11" x14ac:dyDescent="0.25">
      <c r="A82" s="2" t="s">
        <v>47</v>
      </c>
      <c r="B82">
        <f>(G90)</f>
        <v>860</v>
      </c>
    </row>
    <row r="83" spans="1:11" x14ac:dyDescent="0.25">
      <c r="A83" t="s">
        <v>40</v>
      </c>
    </row>
    <row r="85" spans="1:11" x14ac:dyDescent="0.25">
      <c r="A85" t="s">
        <v>48</v>
      </c>
      <c r="C85">
        <v>200</v>
      </c>
    </row>
    <row r="87" spans="1:11" x14ac:dyDescent="0.25">
      <c r="A87" t="s">
        <v>44</v>
      </c>
      <c r="B87" t="s">
        <v>49</v>
      </c>
      <c r="C87">
        <f>(8*25)</f>
        <v>200</v>
      </c>
      <c r="E87" t="s">
        <v>50</v>
      </c>
    </row>
    <row r="88" spans="1:11" x14ac:dyDescent="0.25">
      <c r="A88" t="s">
        <v>23</v>
      </c>
      <c r="C88">
        <v>15</v>
      </c>
    </row>
    <row r="89" spans="1:11" x14ac:dyDescent="0.25">
      <c r="A89" t="s">
        <v>24</v>
      </c>
      <c r="C89">
        <v>15</v>
      </c>
    </row>
    <row r="90" spans="1:11" x14ac:dyDescent="0.25">
      <c r="C90">
        <f>SUM(C84:C89)</f>
        <v>430</v>
      </c>
      <c r="G90" s="2">
        <f>(C90*2)</f>
        <v>860</v>
      </c>
    </row>
    <row r="92" spans="1:11" x14ac:dyDescent="0.25">
      <c r="K92">
        <v>45</v>
      </c>
    </row>
    <row r="93" spans="1:11" x14ac:dyDescent="0.25">
      <c r="A93" s="2" t="s">
        <v>51</v>
      </c>
      <c r="B93">
        <f>(E98)</f>
        <v>300</v>
      </c>
      <c r="K93">
        <v>45</v>
      </c>
    </row>
    <row r="94" spans="1:11" x14ac:dyDescent="0.25">
      <c r="A94" t="s">
        <v>52</v>
      </c>
      <c r="C94">
        <v>45</v>
      </c>
      <c r="K94">
        <v>45</v>
      </c>
    </row>
    <row r="95" spans="1:11" x14ac:dyDescent="0.25">
      <c r="A95" t="s">
        <v>44</v>
      </c>
      <c r="C95">
        <v>25</v>
      </c>
      <c r="K95">
        <v>45</v>
      </c>
    </row>
    <row r="96" spans="1:11" x14ac:dyDescent="0.25">
      <c r="A96" t="s">
        <v>53</v>
      </c>
      <c r="C96">
        <v>70</v>
      </c>
    </row>
    <row r="97" spans="1:6" x14ac:dyDescent="0.25">
      <c r="C97">
        <v>10</v>
      </c>
    </row>
    <row r="98" spans="1:6" x14ac:dyDescent="0.25">
      <c r="C98">
        <f>SUM(C94:C97)</f>
        <v>150</v>
      </c>
      <c r="E98" s="2">
        <f>(C98*2)</f>
        <v>300</v>
      </c>
    </row>
    <row r="101" spans="1:6" x14ac:dyDescent="0.25">
      <c r="A101" s="2" t="s">
        <v>54</v>
      </c>
      <c r="B101" t="s">
        <v>28</v>
      </c>
    </row>
    <row r="102" spans="1:6" x14ac:dyDescent="0.25">
      <c r="A102" t="s">
        <v>55</v>
      </c>
      <c r="C102">
        <v>40</v>
      </c>
      <c r="D102" t="s">
        <v>56</v>
      </c>
    </row>
    <row r="103" spans="1:6" x14ac:dyDescent="0.25">
      <c r="A103" t="s">
        <v>57</v>
      </c>
      <c r="C103">
        <v>20</v>
      </c>
    </row>
    <row r="104" spans="1:6" x14ac:dyDescent="0.25">
      <c r="A104" t="s">
        <v>58</v>
      </c>
      <c r="C104">
        <v>25</v>
      </c>
    </row>
    <row r="105" spans="1:6" x14ac:dyDescent="0.25">
      <c r="A105" t="s">
        <v>59</v>
      </c>
      <c r="B105">
        <v>15</v>
      </c>
      <c r="C105">
        <v>25</v>
      </c>
    </row>
    <row r="106" spans="1:6" x14ac:dyDescent="0.25">
      <c r="A106" t="s">
        <v>24</v>
      </c>
      <c r="C106">
        <v>5</v>
      </c>
    </row>
    <row r="107" spans="1:6" x14ac:dyDescent="0.25">
      <c r="C107">
        <f>SUM(C102:C106)</f>
        <v>115</v>
      </c>
      <c r="D107">
        <f>(C107*2)</f>
        <v>230</v>
      </c>
      <c r="F107" s="2">
        <v>250</v>
      </c>
    </row>
    <row r="109" spans="1:6" x14ac:dyDescent="0.25">
      <c r="A109" s="2" t="s">
        <v>60</v>
      </c>
      <c r="C109" s="2">
        <v>590</v>
      </c>
    </row>
    <row r="110" spans="1:6" x14ac:dyDescent="0.25">
      <c r="A110" t="s">
        <v>266</v>
      </c>
    </row>
    <row r="112" spans="1:6" x14ac:dyDescent="0.25">
      <c r="A112" s="2" t="s">
        <v>61</v>
      </c>
    </row>
    <row r="113" spans="1:4" x14ac:dyDescent="0.25">
      <c r="A113" t="s">
        <v>62</v>
      </c>
    </row>
    <row r="114" spans="1:4" x14ac:dyDescent="0.25">
      <c r="A114" t="s">
        <v>63</v>
      </c>
      <c r="C114">
        <v>200</v>
      </c>
    </row>
    <row r="115" spans="1:4" x14ac:dyDescent="0.25">
      <c r="A115" t="s">
        <v>64</v>
      </c>
      <c r="C115">
        <v>125</v>
      </c>
    </row>
    <row r="116" spans="1:4" x14ac:dyDescent="0.25">
      <c r="A116" t="s">
        <v>65</v>
      </c>
      <c r="C116">
        <v>25</v>
      </c>
    </row>
    <row r="118" spans="1:4" x14ac:dyDescent="0.25">
      <c r="C118">
        <v>15</v>
      </c>
    </row>
    <row r="119" spans="1:4" x14ac:dyDescent="0.25">
      <c r="C119">
        <v>15</v>
      </c>
    </row>
    <row r="120" spans="1:4" x14ac:dyDescent="0.25">
      <c r="C120">
        <f>SUM(C114:C119)</f>
        <v>380</v>
      </c>
      <c r="D120" s="2">
        <v>780</v>
      </c>
    </row>
    <row r="124" spans="1:4" ht="19.5" x14ac:dyDescent="0.3">
      <c r="A124" s="1" t="s">
        <v>66</v>
      </c>
    </row>
    <row r="126" spans="1:4" x14ac:dyDescent="0.25">
      <c r="A126" t="s">
        <v>67</v>
      </c>
    </row>
    <row r="127" spans="1:4" x14ac:dyDescent="0.25">
      <c r="A127" t="s">
        <v>68</v>
      </c>
    </row>
    <row r="128" spans="1:4" x14ac:dyDescent="0.25">
      <c r="A128" t="s">
        <v>69</v>
      </c>
    </row>
    <row r="131" spans="1:7" x14ac:dyDescent="0.25">
      <c r="A131" t="s">
        <v>70</v>
      </c>
    </row>
    <row r="132" spans="1:7" x14ac:dyDescent="0.25">
      <c r="A132" t="s">
        <v>71</v>
      </c>
    </row>
    <row r="134" spans="1:7" x14ac:dyDescent="0.25">
      <c r="A134" t="s">
        <v>72</v>
      </c>
      <c r="B134">
        <v>16.5</v>
      </c>
      <c r="C134" t="s">
        <v>73</v>
      </c>
      <c r="D134">
        <f>(B134*2.5)</f>
        <v>41.25</v>
      </c>
    </row>
    <row r="135" spans="1:7" x14ac:dyDescent="0.25">
      <c r="A135" t="s">
        <v>74</v>
      </c>
      <c r="B135">
        <v>6.9</v>
      </c>
      <c r="C135" t="s">
        <v>75</v>
      </c>
      <c r="D135">
        <f>(6*6.9)</f>
        <v>41.400000000000006</v>
      </c>
    </row>
    <row r="136" spans="1:7" x14ac:dyDescent="0.25">
      <c r="A136" t="s">
        <v>76</v>
      </c>
      <c r="D136">
        <v>20</v>
      </c>
    </row>
    <row r="137" spans="1:7" x14ac:dyDescent="0.25">
      <c r="A137" t="s">
        <v>77</v>
      </c>
      <c r="D137">
        <v>12</v>
      </c>
    </row>
    <row r="138" spans="1:7" x14ac:dyDescent="0.25">
      <c r="A138" t="s">
        <v>78</v>
      </c>
      <c r="D138">
        <v>150</v>
      </c>
    </row>
    <row r="139" spans="1:7" x14ac:dyDescent="0.25">
      <c r="A139" t="s">
        <v>8</v>
      </c>
      <c r="D139">
        <v>20</v>
      </c>
    </row>
    <row r="140" spans="1:7" x14ac:dyDescent="0.25">
      <c r="A140" t="s">
        <v>79</v>
      </c>
      <c r="D140">
        <f>(10*25)</f>
        <v>250</v>
      </c>
    </row>
    <row r="143" spans="1:7" x14ac:dyDescent="0.25">
      <c r="D143">
        <f>SUM(D134:D142)</f>
        <v>534.65</v>
      </c>
      <c r="F143">
        <f>(D143*2)</f>
        <v>1069.3</v>
      </c>
      <c r="G143">
        <v>1100</v>
      </c>
    </row>
    <row r="146" spans="1:8" x14ac:dyDescent="0.25">
      <c r="A146" t="s">
        <v>80</v>
      </c>
      <c r="B146">
        <v>315</v>
      </c>
      <c r="D146">
        <f>(B146*130%)</f>
        <v>409.5</v>
      </c>
    </row>
    <row r="147" spans="1:8" x14ac:dyDescent="0.25">
      <c r="B147">
        <v>230</v>
      </c>
      <c r="D147">
        <f>(B147*130%)</f>
        <v>299</v>
      </c>
    </row>
    <row r="148" spans="1:8" x14ac:dyDescent="0.25">
      <c r="D148">
        <v>50</v>
      </c>
    </row>
    <row r="149" spans="1:8" x14ac:dyDescent="0.25">
      <c r="F149">
        <f>SUM(D146:D148)</f>
        <v>758.5</v>
      </c>
      <c r="G149">
        <v>760</v>
      </c>
    </row>
    <row r="150" spans="1:8" x14ac:dyDescent="0.25">
      <c r="G150" s="4">
        <f>SUM(G141:G149)</f>
        <v>1860</v>
      </c>
    </row>
    <row r="152" spans="1:8" x14ac:dyDescent="0.25">
      <c r="A152" s="2" t="s">
        <v>81</v>
      </c>
    </row>
    <row r="154" spans="1:8" x14ac:dyDescent="0.25">
      <c r="A154" t="s">
        <v>82</v>
      </c>
      <c r="C154">
        <v>70</v>
      </c>
      <c r="D154">
        <f>(C154*130%)+25</f>
        <v>116</v>
      </c>
    </row>
    <row r="155" spans="1:8" x14ac:dyDescent="0.25">
      <c r="A155" t="s">
        <v>83</v>
      </c>
      <c r="B155" t="s">
        <v>84</v>
      </c>
      <c r="C155">
        <v>30</v>
      </c>
    </row>
    <row r="156" spans="1:8" x14ac:dyDescent="0.25">
      <c r="A156" t="s">
        <v>85</v>
      </c>
      <c r="C156">
        <v>10</v>
      </c>
    </row>
    <row r="157" spans="1:8" x14ac:dyDescent="0.25">
      <c r="A157" t="s">
        <v>44</v>
      </c>
      <c r="C157">
        <v>100</v>
      </c>
    </row>
    <row r="158" spans="1:8" x14ac:dyDescent="0.25">
      <c r="A158" t="s">
        <v>78</v>
      </c>
      <c r="C158">
        <v>50</v>
      </c>
    </row>
    <row r="159" spans="1:8" x14ac:dyDescent="0.25">
      <c r="A159" t="s">
        <v>8</v>
      </c>
      <c r="C159">
        <v>15</v>
      </c>
    </row>
    <row r="160" spans="1:8" x14ac:dyDescent="0.25">
      <c r="C160">
        <f>SUM(C155:C158)</f>
        <v>190</v>
      </c>
      <c r="D160">
        <f>SUM(D154:D158)</f>
        <v>116</v>
      </c>
      <c r="F160">
        <f>(C160*2)+D160</f>
        <v>496</v>
      </c>
      <c r="H160" s="2">
        <v>520</v>
      </c>
    </row>
    <row r="164" spans="1:8" x14ac:dyDescent="0.25">
      <c r="A164" s="2" t="s">
        <v>86</v>
      </c>
    </row>
    <row r="166" spans="1:8" x14ac:dyDescent="0.25">
      <c r="A166" t="s">
        <v>15</v>
      </c>
      <c r="C166">
        <v>40</v>
      </c>
    </row>
    <row r="167" spans="1:8" x14ac:dyDescent="0.25">
      <c r="A167" t="s">
        <v>87</v>
      </c>
      <c r="C167">
        <v>15</v>
      </c>
    </row>
    <row r="168" spans="1:8" x14ac:dyDescent="0.25">
      <c r="A168" t="s">
        <v>88</v>
      </c>
      <c r="C168">
        <v>75</v>
      </c>
    </row>
    <row r="169" spans="1:8" x14ac:dyDescent="0.25">
      <c r="A169" t="s">
        <v>8</v>
      </c>
      <c r="C169">
        <v>10</v>
      </c>
    </row>
    <row r="170" spans="1:8" x14ac:dyDescent="0.25">
      <c r="C170">
        <f>SUM(C166:C169)</f>
        <v>140</v>
      </c>
      <c r="E170">
        <f>(C170*2)</f>
        <v>280</v>
      </c>
      <c r="H170" s="2" t="s">
        <v>89</v>
      </c>
    </row>
    <row r="173" spans="1:8" x14ac:dyDescent="0.25">
      <c r="A173" s="2" t="s">
        <v>90</v>
      </c>
    </row>
    <row r="174" spans="1:8" x14ac:dyDescent="0.25">
      <c r="A174" t="s">
        <v>91</v>
      </c>
    </row>
    <row r="178" spans="1:8" x14ac:dyDescent="0.25">
      <c r="A178" t="s">
        <v>72</v>
      </c>
      <c r="C178">
        <v>300</v>
      </c>
    </row>
    <row r="179" spans="1:8" x14ac:dyDescent="0.25">
      <c r="A179" t="s">
        <v>74</v>
      </c>
    </row>
    <row r="180" spans="1:8" x14ac:dyDescent="0.25">
      <c r="A180" t="s">
        <v>76</v>
      </c>
    </row>
    <row r="182" spans="1:8" x14ac:dyDescent="0.25">
      <c r="A182" t="s">
        <v>78</v>
      </c>
      <c r="C182">
        <v>400</v>
      </c>
    </row>
    <row r="183" spans="1:8" x14ac:dyDescent="0.25">
      <c r="A183" t="s">
        <v>8</v>
      </c>
      <c r="C183">
        <v>30</v>
      </c>
    </row>
    <row r="184" spans="1:8" x14ac:dyDescent="0.25">
      <c r="A184" t="s">
        <v>79</v>
      </c>
      <c r="C184">
        <f>(48*25)</f>
        <v>1200</v>
      </c>
    </row>
    <row r="185" spans="1:8" x14ac:dyDescent="0.25">
      <c r="A185" t="s">
        <v>92</v>
      </c>
      <c r="C185">
        <v>200</v>
      </c>
    </row>
    <row r="190" spans="1:8" x14ac:dyDescent="0.25">
      <c r="A190" t="s">
        <v>80</v>
      </c>
      <c r="D190">
        <f>((40*12)*130%)+15</f>
        <v>639</v>
      </c>
    </row>
    <row r="191" spans="1:8" x14ac:dyDescent="0.25">
      <c r="C191">
        <f>SUM(C176:C186)</f>
        <v>2130</v>
      </c>
      <c r="F191">
        <f>(C191)*2+D190</f>
        <v>4899</v>
      </c>
      <c r="H191" s="2">
        <v>5200</v>
      </c>
    </row>
    <row r="194" spans="1:1" x14ac:dyDescent="0.25">
      <c r="A194" t="s">
        <v>93</v>
      </c>
    </row>
    <row r="200" spans="1:1" x14ac:dyDescent="0.25">
      <c r="A200" t="s">
        <v>94</v>
      </c>
    </row>
    <row r="201" spans="1:1" x14ac:dyDescent="0.25">
      <c r="A201" t="s">
        <v>95</v>
      </c>
    </row>
    <row r="204" spans="1:1" ht="26.25" x14ac:dyDescent="0.4">
      <c r="A204" s="7" t="s">
        <v>96</v>
      </c>
    </row>
    <row r="207" spans="1:1" x14ac:dyDescent="0.25">
      <c r="A207" s="8" t="s">
        <v>97</v>
      </c>
    </row>
    <row r="208" spans="1:1" x14ac:dyDescent="0.25">
      <c r="A208" t="s">
        <v>98</v>
      </c>
    </row>
    <row r="209" spans="1:9" x14ac:dyDescent="0.25">
      <c r="A209" t="s">
        <v>99</v>
      </c>
      <c r="D209" t="s">
        <v>100</v>
      </c>
      <c r="F209">
        <v>50</v>
      </c>
    </row>
    <row r="210" spans="1:9" x14ac:dyDescent="0.25">
      <c r="A210" t="s">
        <v>101</v>
      </c>
      <c r="B210">
        <v>50</v>
      </c>
      <c r="C210">
        <v>100</v>
      </c>
    </row>
    <row r="211" spans="1:9" x14ac:dyDescent="0.25">
      <c r="A211" t="s">
        <v>102</v>
      </c>
      <c r="B211">
        <v>20</v>
      </c>
      <c r="C211">
        <v>20</v>
      </c>
    </row>
    <row r="212" spans="1:9" x14ac:dyDescent="0.25">
      <c r="A212" t="s">
        <v>87</v>
      </c>
      <c r="B212">
        <v>10</v>
      </c>
      <c r="C212">
        <v>10</v>
      </c>
    </row>
    <row r="213" spans="1:9" x14ac:dyDescent="0.25">
      <c r="A213" t="s">
        <v>8</v>
      </c>
      <c r="B213">
        <v>20</v>
      </c>
      <c r="C213">
        <v>20</v>
      </c>
    </row>
    <row r="214" spans="1:9" x14ac:dyDescent="0.25">
      <c r="A214" t="s">
        <v>79</v>
      </c>
      <c r="B214">
        <f>(7*30)+ (4*25)</f>
        <v>310</v>
      </c>
      <c r="C214">
        <f>(7*30)+ (4*25)</f>
        <v>310</v>
      </c>
    </row>
    <row r="215" spans="1:9" x14ac:dyDescent="0.25">
      <c r="B215">
        <f>SUM(B209:B214)</f>
        <v>410</v>
      </c>
      <c r="C215">
        <f>SUM(C209:C214)</f>
        <v>460</v>
      </c>
    </row>
    <row r="216" spans="1:9" x14ac:dyDescent="0.25">
      <c r="B216">
        <f>(B215*2)</f>
        <v>820</v>
      </c>
      <c r="C216">
        <f>(C215*2)</f>
        <v>920</v>
      </c>
    </row>
    <row r="217" spans="1:9" x14ac:dyDescent="0.25">
      <c r="B217" s="2">
        <v>840</v>
      </c>
      <c r="C217" s="2">
        <v>960</v>
      </c>
    </row>
    <row r="218" spans="1:9" x14ac:dyDescent="0.25">
      <c r="A218" t="s">
        <v>103</v>
      </c>
    </row>
    <row r="219" spans="1:9" x14ac:dyDescent="0.25">
      <c r="A219" t="s">
        <v>104</v>
      </c>
      <c r="B219">
        <v>70</v>
      </c>
      <c r="C219">
        <f>(70*130%)</f>
        <v>91</v>
      </c>
      <c r="E219">
        <f>(1.4*1.1)*280</f>
        <v>431.2</v>
      </c>
      <c r="G219">
        <v>430</v>
      </c>
      <c r="I219" s="2">
        <v>560</v>
      </c>
    </row>
    <row r="220" spans="1:9" x14ac:dyDescent="0.25">
      <c r="A220" t="s">
        <v>105</v>
      </c>
      <c r="B220">
        <v>60</v>
      </c>
      <c r="G220">
        <f>(65*130%)</f>
        <v>84.5</v>
      </c>
    </row>
    <row r="221" spans="1:9" x14ac:dyDescent="0.25">
      <c r="A221" t="s">
        <v>106</v>
      </c>
    </row>
    <row r="223" spans="1:9" x14ac:dyDescent="0.25">
      <c r="A223" s="8" t="s">
        <v>107</v>
      </c>
    </row>
    <row r="224" spans="1:9" x14ac:dyDescent="0.25">
      <c r="A224" t="s">
        <v>108</v>
      </c>
    </row>
    <row r="225" spans="1:3" x14ac:dyDescent="0.25">
      <c r="A225" t="s">
        <v>109</v>
      </c>
    </row>
    <row r="226" spans="1:3" x14ac:dyDescent="0.25">
      <c r="A226" t="s">
        <v>110</v>
      </c>
    </row>
    <row r="227" spans="1:3" x14ac:dyDescent="0.25">
      <c r="A227" t="s">
        <v>111</v>
      </c>
    </row>
    <row r="228" spans="1:3" x14ac:dyDescent="0.25">
      <c r="A228" t="s">
        <v>101</v>
      </c>
      <c r="B228">
        <v>40</v>
      </c>
      <c r="C228">
        <v>80</v>
      </c>
    </row>
    <row r="229" spans="1:3" x14ac:dyDescent="0.25">
      <c r="A229" t="s">
        <v>102</v>
      </c>
      <c r="B229">
        <v>15</v>
      </c>
      <c r="C229">
        <v>15</v>
      </c>
    </row>
    <row r="230" spans="1:3" x14ac:dyDescent="0.25">
      <c r="A230" t="s">
        <v>87</v>
      </c>
      <c r="B230">
        <v>10</v>
      </c>
      <c r="C230">
        <v>10</v>
      </c>
    </row>
    <row r="231" spans="1:3" x14ac:dyDescent="0.25">
      <c r="A231" t="s">
        <v>8</v>
      </c>
      <c r="B231">
        <v>20</v>
      </c>
      <c r="C231">
        <v>20</v>
      </c>
    </row>
    <row r="232" spans="1:3" x14ac:dyDescent="0.25">
      <c r="A232" t="s">
        <v>79</v>
      </c>
      <c r="B232">
        <f>(7*30)+ (3*25)</f>
        <v>285</v>
      </c>
      <c r="C232">
        <f>(7*30)+ (3*25)</f>
        <v>285</v>
      </c>
    </row>
    <row r="233" spans="1:3" x14ac:dyDescent="0.25">
      <c r="B233">
        <f>SUM(B227:B232)</f>
        <v>370</v>
      </c>
      <c r="C233">
        <f>SUM(C227:C232)</f>
        <v>410</v>
      </c>
    </row>
    <row r="234" spans="1:3" x14ac:dyDescent="0.25">
      <c r="B234" s="2">
        <v>750</v>
      </c>
      <c r="C234" s="2">
        <v>880</v>
      </c>
    </row>
    <row r="239" spans="1:3" x14ac:dyDescent="0.25">
      <c r="A239" t="s">
        <v>112</v>
      </c>
      <c r="C239" s="2">
        <v>395</v>
      </c>
    </row>
    <row r="240" spans="1:3" x14ac:dyDescent="0.25">
      <c r="A240" t="s">
        <v>113</v>
      </c>
    </row>
    <row r="243" spans="1:3" x14ac:dyDescent="0.25">
      <c r="A243" t="s">
        <v>114</v>
      </c>
    </row>
    <row r="244" spans="1:3" x14ac:dyDescent="0.25">
      <c r="A244" t="s">
        <v>115</v>
      </c>
    </row>
    <row r="245" spans="1:3" x14ac:dyDescent="0.25">
      <c r="A245" t="s">
        <v>116</v>
      </c>
      <c r="B245">
        <v>100</v>
      </c>
      <c r="C245">
        <f>(B245*130%)+25</f>
        <v>155</v>
      </c>
    </row>
    <row r="246" spans="1:3" x14ac:dyDescent="0.25">
      <c r="A246" t="s">
        <v>117</v>
      </c>
      <c r="C246">
        <v>155</v>
      </c>
    </row>
    <row r="247" spans="1:3" x14ac:dyDescent="0.25">
      <c r="C247" s="2">
        <f>SUM(C245:C246)</f>
        <v>310</v>
      </c>
    </row>
    <row r="249" spans="1:3" x14ac:dyDescent="0.25">
      <c r="A249" s="8" t="s">
        <v>118</v>
      </c>
    </row>
    <row r="250" spans="1:3" x14ac:dyDescent="0.25">
      <c r="A250" t="s">
        <v>119</v>
      </c>
    </row>
    <row r="251" spans="1:3" x14ac:dyDescent="0.25">
      <c r="A251" t="s">
        <v>120</v>
      </c>
    </row>
    <row r="253" spans="1:3" x14ac:dyDescent="0.25">
      <c r="A253" t="s">
        <v>101</v>
      </c>
      <c r="B253">
        <v>50</v>
      </c>
    </row>
    <row r="254" spans="1:3" x14ac:dyDescent="0.25">
      <c r="A254" t="s">
        <v>102</v>
      </c>
    </row>
    <row r="255" spans="1:3" x14ac:dyDescent="0.25">
      <c r="A255" t="s">
        <v>121</v>
      </c>
      <c r="B255">
        <v>30</v>
      </c>
    </row>
    <row r="256" spans="1:3" x14ac:dyDescent="0.25">
      <c r="A256" t="s">
        <v>8</v>
      </c>
      <c r="B256">
        <v>20</v>
      </c>
    </row>
    <row r="257" spans="1:6" x14ac:dyDescent="0.25">
      <c r="A257" t="s">
        <v>79</v>
      </c>
      <c r="B257">
        <f>(10*25)</f>
        <v>250</v>
      </c>
    </row>
    <row r="258" spans="1:6" x14ac:dyDescent="0.25">
      <c r="B258">
        <f>SUM(B226:B257)</f>
        <v>1940</v>
      </c>
    </row>
    <row r="259" spans="1:6" x14ac:dyDescent="0.25">
      <c r="B259" s="9">
        <f>(B258*2)</f>
        <v>3880</v>
      </c>
      <c r="D259" s="2">
        <v>675</v>
      </c>
    </row>
    <row r="261" spans="1:6" x14ac:dyDescent="0.25">
      <c r="A261" t="s">
        <v>122</v>
      </c>
    </row>
    <row r="262" spans="1:6" x14ac:dyDescent="0.25">
      <c r="A262" t="s">
        <v>123</v>
      </c>
    </row>
    <row r="263" spans="1:6" x14ac:dyDescent="0.25">
      <c r="A263" t="s">
        <v>124</v>
      </c>
      <c r="B263">
        <v>50</v>
      </c>
      <c r="C263">
        <f>(B263*130%)</f>
        <v>65</v>
      </c>
    </row>
    <row r="264" spans="1:6" x14ac:dyDescent="0.25">
      <c r="A264" t="s">
        <v>32</v>
      </c>
      <c r="B264">
        <v>240</v>
      </c>
      <c r="C264">
        <v>240</v>
      </c>
    </row>
    <row r="265" spans="1:6" x14ac:dyDescent="0.25">
      <c r="C265">
        <f>SUM(C263:C264)</f>
        <v>305</v>
      </c>
      <c r="D265" s="2">
        <v>340</v>
      </c>
    </row>
    <row r="266" spans="1:6" x14ac:dyDescent="0.25">
      <c r="D266">
        <v>280</v>
      </c>
      <c r="F266" t="s">
        <v>125</v>
      </c>
    </row>
    <row r="267" spans="1:6" x14ac:dyDescent="0.25">
      <c r="A267" t="s">
        <v>126</v>
      </c>
    </row>
    <row r="268" spans="1:6" x14ac:dyDescent="0.25">
      <c r="A268" t="s">
        <v>127</v>
      </c>
      <c r="B268">
        <f>(140*130%)</f>
        <v>182</v>
      </c>
      <c r="D268" s="2">
        <v>280</v>
      </c>
    </row>
    <row r="269" spans="1:6" x14ac:dyDescent="0.25">
      <c r="A269" t="s">
        <v>128</v>
      </c>
      <c r="B269">
        <v>40</v>
      </c>
    </row>
    <row r="270" spans="1:6" x14ac:dyDescent="0.25">
      <c r="A270" t="s">
        <v>129</v>
      </c>
      <c r="B270">
        <v>20</v>
      </c>
    </row>
    <row r="273" spans="1:8" x14ac:dyDescent="0.25">
      <c r="A273" s="9" t="s">
        <v>130</v>
      </c>
    </row>
    <row r="274" spans="1:8" x14ac:dyDescent="0.25">
      <c r="A274" t="s">
        <v>131</v>
      </c>
      <c r="D274">
        <v>675</v>
      </c>
    </row>
    <row r="275" spans="1:8" x14ac:dyDescent="0.25">
      <c r="A275" t="s">
        <v>120</v>
      </c>
    </row>
    <row r="279" spans="1:8" x14ac:dyDescent="0.25">
      <c r="A279" t="s">
        <v>132</v>
      </c>
      <c r="D279">
        <v>340</v>
      </c>
      <c r="F279" t="s">
        <v>133</v>
      </c>
      <c r="G279">
        <f>(340-60)</f>
        <v>280</v>
      </c>
      <c r="H279">
        <v>285</v>
      </c>
    </row>
    <row r="280" spans="1:8" x14ac:dyDescent="0.25">
      <c r="A280" t="s">
        <v>123</v>
      </c>
    </row>
    <row r="283" spans="1:8" x14ac:dyDescent="0.25">
      <c r="A283" t="s">
        <v>134</v>
      </c>
      <c r="C283">
        <v>60</v>
      </c>
      <c r="D283">
        <f>(C283*130%)</f>
        <v>78</v>
      </c>
      <c r="G283" s="2">
        <v>80</v>
      </c>
    </row>
    <row r="284" spans="1:8" x14ac:dyDescent="0.25">
      <c r="A284" t="s">
        <v>135</v>
      </c>
    </row>
    <row r="285" spans="1:8" x14ac:dyDescent="0.25">
      <c r="A285" t="s">
        <v>136</v>
      </c>
    </row>
    <row r="288" spans="1:8" x14ac:dyDescent="0.25">
      <c r="A288" s="9" t="s">
        <v>137</v>
      </c>
    </row>
    <row r="289" spans="1:13" x14ac:dyDescent="0.25">
      <c r="A289" t="s">
        <v>138</v>
      </c>
    </row>
    <row r="290" spans="1:13" x14ac:dyDescent="0.25">
      <c r="A290" t="s">
        <v>139</v>
      </c>
    </row>
    <row r="292" spans="1:13" x14ac:dyDescent="0.25">
      <c r="A292" t="s">
        <v>134</v>
      </c>
      <c r="D292" s="2">
        <v>82</v>
      </c>
    </row>
    <row r="293" spans="1:13" x14ac:dyDescent="0.25">
      <c r="A293" t="s">
        <v>140</v>
      </c>
    </row>
    <row r="296" spans="1:13" x14ac:dyDescent="0.25">
      <c r="A296" s="9" t="s">
        <v>141</v>
      </c>
    </row>
    <row r="298" spans="1:13" x14ac:dyDescent="0.25">
      <c r="A298" t="s">
        <v>142</v>
      </c>
      <c r="B298">
        <v>453</v>
      </c>
      <c r="D298">
        <f>(B298*130%)+50</f>
        <v>638.9</v>
      </c>
      <c r="F298">
        <v>650</v>
      </c>
      <c r="I298">
        <v>803.12</v>
      </c>
      <c r="K298" t="s">
        <v>143</v>
      </c>
      <c r="M298">
        <f>(I298*130%)+50</f>
        <v>1094.056</v>
      </c>
    </row>
    <row r="300" spans="1:13" x14ac:dyDescent="0.25">
      <c r="A300" t="s">
        <v>144</v>
      </c>
    </row>
    <row r="303" spans="1:13" x14ac:dyDescent="0.25">
      <c r="A303" s="9" t="s">
        <v>145</v>
      </c>
    </row>
    <row r="304" spans="1:13" x14ac:dyDescent="0.25">
      <c r="A304" t="s">
        <v>146</v>
      </c>
      <c r="C304">
        <v>40</v>
      </c>
    </row>
    <row r="305" spans="1:6" x14ac:dyDescent="0.25">
      <c r="A305" t="s">
        <v>147</v>
      </c>
    </row>
    <row r="306" spans="1:6" x14ac:dyDescent="0.25">
      <c r="A306" t="s">
        <v>148</v>
      </c>
      <c r="C306">
        <v>60</v>
      </c>
    </row>
    <row r="307" spans="1:6" x14ac:dyDescent="0.25">
      <c r="A307" t="s">
        <v>149</v>
      </c>
      <c r="C307">
        <v>60</v>
      </c>
    </row>
    <row r="308" spans="1:6" x14ac:dyDescent="0.25">
      <c r="A308" t="s">
        <v>8</v>
      </c>
      <c r="C308">
        <v>10</v>
      </c>
    </row>
    <row r="309" spans="1:6" x14ac:dyDescent="0.25">
      <c r="A309" t="s">
        <v>150</v>
      </c>
      <c r="C309">
        <v>20</v>
      </c>
    </row>
    <row r="310" spans="1:6" x14ac:dyDescent="0.25">
      <c r="A310" t="s">
        <v>79</v>
      </c>
      <c r="C310">
        <f>(4+8)*25</f>
        <v>300</v>
      </c>
    </row>
    <row r="311" spans="1:6" x14ac:dyDescent="0.25">
      <c r="C311">
        <f>SUM(C303:C310)</f>
        <v>490</v>
      </c>
      <c r="E311">
        <f>(C311*2)</f>
        <v>980</v>
      </c>
      <c r="F311" t="s">
        <v>151</v>
      </c>
    </row>
    <row r="313" spans="1:6" x14ac:dyDescent="0.25">
      <c r="A313" t="s">
        <v>152</v>
      </c>
    </row>
    <row r="316" spans="1:6" x14ac:dyDescent="0.25">
      <c r="A316" s="9" t="s">
        <v>153</v>
      </c>
      <c r="C316">
        <v>685</v>
      </c>
    </row>
    <row r="317" spans="1:6" x14ac:dyDescent="0.25">
      <c r="A317" t="s">
        <v>152</v>
      </c>
    </row>
    <row r="322" spans="1:5" x14ac:dyDescent="0.25">
      <c r="A322" s="9" t="s">
        <v>154</v>
      </c>
      <c r="B322" t="s">
        <v>155</v>
      </c>
      <c r="C322">
        <v>650</v>
      </c>
    </row>
    <row r="323" spans="1:5" x14ac:dyDescent="0.25">
      <c r="A323" t="s">
        <v>152</v>
      </c>
    </row>
    <row r="326" spans="1:5" x14ac:dyDescent="0.25">
      <c r="A326" s="9" t="s">
        <v>156</v>
      </c>
    </row>
    <row r="327" spans="1:5" x14ac:dyDescent="0.25">
      <c r="A327" t="s">
        <v>157</v>
      </c>
      <c r="C327">
        <v>680</v>
      </c>
    </row>
    <row r="328" spans="1:5" x14ac:dyDescent="0.25">
      <c r="A328" t="s">
        <v>158</v>
      </c>
      <c r="C328">
        <v>830</v>
      </c>
    </row>
    <row r="331" spans="1:5" x14ac:dyDescent="0.25">
      <c r="A331" s="9" t="s">
        <v>159</v>
      </c>
      <c r="C331">
        <v>720</v>
      </c>
    </row>
    <row r="332" spans="1:5" x14ac:dyDescent="0.25">
      <c r="A332" t="s">
        <v>160</v>
      </c>
    </row>
    <row r="334" spans="1:5" x14ac:dyDescent="0.25">
      <c r="A334" s="9" t="s">
        <v>161</v>
      </c>
      <c r="C334">
        <v>1920</v>
      </c>
    </row>
    <row r="335" spans="1:5" x14ac:dyDescent="0.25">
      <c r="A335" t="s">
        <v>162</v>
      </c>
      <c r="E335" t="s">
        <v>163</v>
      </c>
    </row>
    <row r="336" spans="1:5" x14ac:dyDescent="0.25">
      <c r="A336" t="s">
        <v>164</v>
      </c>
    </row>
    <row r="339" spans="1:8" x14ac:dyDescent="0.25">
      <c r="A339" t="s">
        <v>165</v>
      </c>
      <c r="C339">
        <f>(1920*150%)</f>
        <v>2880</v>
      </c>
      <c r="E339">
        <f>(C339-C334)</f>
        <v>960</v>
      </c>
      <c r="H339" t="s">
        <v>166</v>
      </c>
    </row>
    <row r="341" spans="1:8" x14ac:dyDescent="0.25">
      <c r="A341" t="s">
        <v>148</v>
      </c>
      <c r="C341">
        <v>1000</v>
      </c>
    </row>
    <row r="342" spans="1:8" x14ac:dyDescent="0.25">
      <c r="A342" t="s">
        <v>167</v>
      </c>
      <c r="C342">
        <f>(15*30)</f>
        <v>450</v>
      </c>
    </row>
    <row r="343" spans="1:8" x14ac:dyDescent="0.25">
      <c r="A343" t="s">
        <v>8</v>
      </c>
      <c r="C343">
        <v>50</v>
      </c>
    </row>
    <row r="344" spans="1:8" x14ac:dyDescent="0.25">
      <c r="A344" t="s">
        <v>87</v>
      </c>
      <c r="C344">
        <v>30</v>
      </c>
    </row>
    <row r="345" spans="1:8" x14ac:dyDescent="0.25">
      <c r="C345">
        <f>SUM(C341:C344)</f>
        <v>1530</v>
      </c>
      <c r="E345">
        <f>(C345*2)</f>
        <v>3060</v>
      </c>
    </row>
    <row r="347" spans="1:8" x14ac:dyDescent="0.25">
      <c r="A347" t="s">
        <v>168</v>
      </c>
      <c r="C347">
        <f>(65*4)</f>
        <v>260</v>
      </c>
    </row>
    <row r="348" spans="1:8" x14ac:dyDescent="0.25">
      <c r="C348">
        <v>200</v>
      </c>
    </row>
    <row r="349" spans="1:8" x14ac:dyDescent="0.25">
      <c r="B349" t="s">
        <v>87</v>
      </c>
      <c r="C349">
        <v>20</v>
      </c>
    </row>
    <row r="350" spans="1:8" x14ac:dyDescent="0.25">
      <c r="B350" t="s">
        <v>8</v>
      </c>
      <c r="C350">
        <v>15</v>
      </c>
    </row>
    <row r="351" spans="1:8" x14ac:dyDescent="0.25">
      <c r="B351" t="s">
        <v>79</v>
      </c>
      <c r="C351">
        <f>(14*30)</f>
        <v>420</v>
      </c>
    </row>
    <row r="352" spans="1:8" x14ac:dyDescent="0.25">
      <c r="C352">
        <f>SUM(C347:C351)</f>
        <v>915</v>
      </c>
      <c r="D352">
        <f>(C352*2)</f>
        <v>1830</v>
      </c>
    </row>
    <row r="362" spans="1:4" x14ac:dyDescent="0.25">
      <c r="A362" s="9" t="s">
        <v>169</v>
      </c>
    </row>
    <row r="364" spans="1:4" x14ac:dyDescent="0.25">
      <c r="A364" t="s">
        <v>170</v>
      </c>
      <c r="C364">
        <v>86</v>
      </c>
      <c r="D364">
        <v>86</v>
      </c>
    </row>
    <row r="365" spans="1:4" x14ac:dyDescent="0.25">
      <c r="C365">
        <v>46</v>
      </c>
    </row>
    <row r="366" spans="1:4" x14ac:dyDescent="0.25">
      <c r="A366" t="s">
        <v>79</v>
      </c>
      <c r="C366">
        <v>75</v>
      </c>
    </row>
    <row r="367" spans="1:4" x14ac:dyDescent="0.25">
      <c r="A367" t="s">
        <v>171</v>
      </c>
      <c r="C367">
        <v>30</v>
      </c>
    </row>
    <row r="368" spans="1:4" x14ac:dyDescent="0.25">
      <c r="C368">
        <v>15</v>
      </c>
    </row>
    <row r="369" spans="1:5" x14ac:dyDescent="0.25">
      <c r="C369">
        <f>SUM(C364:C368)</f>
        <v>252</v>
      </c>
      <c r="D369">
        <f>(C369*2)</f>
        <v>504</v>
      </c>
      <c r="E369" s="10">
        <v>540</v>
      </c>
    </row>
    <row r="372" spans="1:5" x14ac:dyDescent="0.25">
      <c r="A372" s="9" t="s">
        <v>172</v>
      </c>
      <c r="B372" t="s">
        <v>173</v>
      </c>
      <c r="D372" s="2" t="s">
        <v>174</v>
      </c>
    </row>
    <row r="373" spans="1:5" x14ac:dyDescent="0.25">
      <c r="A373" t="s">
        <v>175</v>
      </c>
    </row>
    <row r="374" spans="1:5" x14ac:dyDescent="0.25">
      <c r="B374" t="s">
        <v>176</v>
      </c>
      <c r="C374">
        <v>45</v>
      </c>
    </row>
    <row r="375" spans="1:5" x14ac:dyDescent="0.25">
      <c r="B375" t="s">
        <v>38</v>
      </c>
      <c r="C375">
        <v>15</v>
      </c>
    </row>
    <row r="376" spans="1:5" x14ac:dyDescent="0.25">
      <c r="B376" t="s">
        <v>44</v>
      </c>
      <c r="C376">
        <v>20</v>
      </c>
    </row>
    <row r="377" spans="1:5" x14ac:dyDescent="0.25">
      <c r="C377">
        <v>5</v>
      </c>
    </row>
    <row r="378" spans="1:5" x14ac:dyDescent="0.25">
      <c r="C378">
        <f>SUM(C374:C377)</f>
        <v>85</v>
      </c>
      <c r="E378" s="2">
        <v>150</v>
      </c>
    </row>
    <row r="382" spans="1:5" x14ac:dyDescent="0.25">
      <c r="A382" s="9" t="s">
        <v>177</v>
      </c>
      <c r="C382">
        <v>60</v>
      </c>
    </row>
    <row r="383" spans="1:5" x14ac:dyDescent="0.25">
      <c r="A383" t="s">
        <v>178</v>
      </c>
      <c r="B383" t="s">
        <v>179</v>
      </c>
    </row>
    <row r="384" spans="1:5" x14ac:dyDescent="0.25">
      <c r="A384" t="s">
        <v>180</v>
      </c>
    </row>
    <row r="386" spans="1:3" x14ac:dyDescent="0.25">
      <c r="A386" t="s">
        <v>106</v>
      </c>
    </row>
    <row r="388" spans="1:3" x14ac:dyDescent="0.25">
      <c r="A388" s="9" t="s">
        <v>181</v>
      </c>
      <c r="C388">
        <v>115</v>
      </c>
    </row>
    <row r="389" spans="1:3" x14ac:dyDescent="0.25">
      <c r="A389" t="s">
        <v>182</v>
      </c>
    </row>
    <row r="392" spans="1:3" x14ac:dyDescent="0.25">
      <c r="A392" s="2" t="s">
        <v>183</v>
      </c>
    </row>
    <row r="394" spans="1:3" x14ac:dyDescent="0.25">
      <c r="A394" t="s">
        <v>184</v>
      </c>
    </row>
    <row r="396" spans="1:3" x14ac:dyDescent="0.25">
      <c r="A396" t="s">
        <v>185</v>
      </c>
    </row>
    <row r="398" spans="1:3" x14ac:dyDescent="0.25">
      <c r="A398" t="s">
        <v>79</v>
      </c>
      <c r="B398">
        <v>100</v>
      </c>
    </row>
    <row r="399" spans="1:3" x14ac:dyDescent="0.25">
      <c r="A399" t="s">
        <v>186</v>
      </c>
      <c r="B399">
        <v>100</v>
      </c>
    </row>
    <row r="400" spans="1:3" x14ac:dyDescent="0.25">
      <c r="A400" t="s">
        <v>102</v>
      </c>
      <c r="B400">
        <v>30</v>
      </c>
    </row>
    <row r="401" spans="1:6" x14ac:dyDescent="0.25">
      <c r="A401" t="s">
        <v>8</v>
      </c>
      <c r="B401">
        <v>30</v>
      </c>
    </row>
    <row r="402" spans="1:6" x14ac:dyDescent="0.25">
      <c r="A402" t="s">
        <v>187</v>
      </c>
      <c r="B402">
        <v>50</v>
      </c>
    </row>
    <row r="403" spans="1:6" x14ac:dyDescent="0.25">
      <c r="A403" t="s">
        <v>87</v>
      </c>
      <c r="B403">
        <v>25</v>
      </c>
    </row>
    <row r="404" spans="1:6" x14ac:dyDescent="0.25">
      <c r="B404">
        <f>SUM(B398:B403)</f>
        <v>335</v>
      </c>
      <c r="D404">
        <f>(B404*2)</f>
        <v>670</v>
      </c>
      <c r="F404" s="2">
        <v>815</v>
      </c>
    </row>
    <row r="405" spans="1:6" x14ac:dyDescent="0.25">
      <c r="F405">
        <v>35</v>
      </c>
    </row>
    <row r="406" spans="1:6" x14ac:dyDescent="0.25">
      <c r="A406" t="s">
        <v>188</v>
      </c>
      <c r="D406">
        <v>75</v>
      </c>
    </row>
    <row r="412" spans="1:6" x14ac:dyDescent="0.25">
      <c r="A412" s="3"/>
    </row>
    <row r="413" spans="1:6" x14ac:dyDescent="0.25">
      <c r="A413" s="2" t="s">
        <v>189</v>
      </c>
    </row>
    <row r="414" spans="1:6" x14ac:dyDescent="0.25">
      <c r="A414">
        <v>130</v>
      </c>
    </row>
    <row r="415" spans="1:6" x14ac:dyDescent="0.25">
      <c r="A415" t="s">
        <v>190</v>
      </c>
    </row>
    <row r="416" spans="1:6" x14ac:dyDescent="0.25">
      <c r="B416" s="11">
        <v>225</v>
      </c>
    </row>
    <row r="420" spans="1:2" x14ac:dyDescent="0.25">
      <c r="A420" t="s">
        <v>191</v>
      </c>
      <c r="B420" s="11">
        <v>70</v>
      </c>
    </row>
    <row r="424" spans="1:2" x14ac:dyDescent="0.25">
      <c r="A424" s="2" t="s">
        <v>192</v>
      </c>
      <c r="B424">
        <v>1050</v>
      </c>
    </row>
    <row r="425" spans="1:2" x14ac:dyDescent="0.25">
      <c r="A425" t="s">
        <v>193</v>
      </c>
    </row>
    <row r="426" spans="1:2" x14ac:dyDescent="0.25">
      <c r="A426" t="s">
        <v>194</v>
      </c>
    </row>
    <row r="428" spans="1:2" x14ac:dyDescent="0.25">
      <c r="A428" s="2" t="s">
        <v>195</v>
      </c>
      <c r="B428">
        <v>350</v>
      </c>
    </row>
    <row r="434" spans="1:4" x14ac:dyDescent="0.25">
      <c r="A434" s="2" t="s">
        <v>196</v>
      </c>
    </row>
    <row r="435" spans="1:4" x14ac:dyDescent="0.25">
      <c r="A435" s="2" t="s">
        <v>197</v>
      </c>
    </row>
    <row r="436" spans="1:4" x14ac:dyDescent="0.25">
      <c r="A436" s="2" t="s">
        <v>198</v>
      </c>
      <c r="D436">
        <v>1960</v>
      </c>
    </row>
    <row r="437" spans="1:4" x14ac:dyDescent="0.25">
      <c r="A437" t="s">
        <v>148</v>
      </c>
      <c r="B437">
        <v>200</v>
      </c>
    </row>
    <row r="438" spans="1:4" x14ac:dyDescent="0.25">
      <c r="A438" t="s">
        <v>79</v>
      </c>
      <c r="B438">
        <f>(15*30)</f>
        <v>450</v>
      </c>
    </row>
    <row r="439" spans="1:4" x14ac:dyDescent="0.25">
      <c r="A439" t="s">
        <v>199</v>
      </c>
      <c r="B439">
        <v>75</v>
      </c>
    </row>
    <row r="440" spans="1:4" x14ac:dyDescent="0.25">
      <c r="A440" t="s">
        <v>200</v>
      </c>
      <c r="B440">
        <v>25</v>
      </c>
    </row>
    <row r="441" spans="1:4" x14ac:dyDescent="0.25">
      <c r="A441" t="s">
        <v>8</v>
      </c>
      <c r="B441">
        <v>50</v>
      </c>
    </row>
    <row r="442" spans="1:4" x14ac:dyDescent="0.25">
      <c r="A442" t="s">
        <v>79</v>
      </c>
      <c r="B442">
        <f>(6*30)</f>
        <v>180</v>
      </c>
    </row>
    <row r="443" spans="1:4" x14ac:dyDescent="0.25">
      <c r="B443">
        <f>SUM(B437:B442)</f>
        <v>980</v>
      </c>
      <c r="D443">
        <f>(B443*2)</f>
        <v>1960</v>
      </c>
    </row>
    <row r="449" spans="1:6" x14ac:dyDescent="0.25">
      <c r="A449" t="s">
        <v>201</v>
      </c>
    </row>
    <row r="451" spans="1:6" x14ac:dyDescent="0.25">
      <c r="A451" s="2" t="s">
        <v>202</v>
      </c>
    </row>
    <row r="453" spans="1:6" x14ac:dyDescent="0.25">
      <c r="A453" t="s">
        <v>203</v>
      </c>
      <c r="B453" s="2">
        <v>190</v>
      </c>
      <c r="D453" t="s">
        <v>204</v>
      </c>
    </row>
    <row r="454" spans="1:6" x14ac:dyDescent="0.25">
      <c r="D454" t="s">
        <v>205</v>
      </c>
    </row>
    <row r="455" spans="1:6" x14ac:dyDescent="0.25">
      <c r="A455" t="s">
        <v>44</v>
      </c>
      <c r="B455">
        <v>50</v>
      </c>
    </row>
    <row r="456" spans="1:6" x14ac:dyDescent="0.25">
      <c r="A456" t="s">
        <v>206</v>
      </c>
      <c r="B456">
        <v>15</v>
      </c>
    </row>
    <row r="457" spans="1:6" x14ac:dyDescent="0.25">
      <c r="A457" t="s">
        <v>207</v>
      </c>
      <c r="B457">
        <v>15</v>
      </c>
      <c r="C457" t="s">
        <v>208</v>
      </c>
    </row>
    <row r="458" spans="1:6" x14ac:dyDescent="0.25">
      <c r="A458" t="s">
        <v>209</v>
      </c>
      <c r="B458">
        <v>5</v>
      </c>
    </row>
    <row r="459" spans="1:6" x14ac:dyDescent="0.25">
      <c r="A459" t="s">
        <v>24</v>
      </c>
    </row>
    <row r="460" spans="1:6" x14ac:dyDescent="0.25">
      <c r="B460">
        <f>SUM(B455:B459)</f>
        <v>85</v>
      </c>
      <c r="F460" s="2">
        <v>175</v>
      </c>
    </row>
    <row r="463" spans="1:6" x14ac:dyDescent="0.25">
      <c r="A463" s="2" t="s">
        <v>210</v>
      </c>
    </row>
    <row r="465" spans="1:13" x14ac:dyDescent="0.25">
      <c r="B465">
        <v>80</v>
      </c>
    </row>
    <row r="466" spans="1:13" x14ac:dyDescent="0.25">
      <c r="B466">
        <v>250</v>
      </c>
    </row>
    <row r="467" spans="1:13" x14ac:dyDescent="0.25">
      <c r="B467">
        <v>25</v>
      </c>
    </row>
    <row r="468" spans="1:13" x14ac:dyDescent="0.25">
      <c r="B468">
        <v>25</v>
      </c>
    </row>
    <row r="469" spans="1:13" x14ac:dyDescent="0.25">
      <c r="B469">
        <v>15</v>
      </c>
    </row>
    <row r="470" spans="1:13" x14ac:dyDescent="0.25">
      <c r="B470">
        <f>SUM(B465:B469)</f>
        <v>395</v>
      </c>
      <c r="D470">
        <f>(B470*2)</f>
        <v>790</v>
      </c>
      <c r="F470" s="2">
        <v>785</v>
      </c>
    </row>
    <row r="474" spans="1:13" x14ac:dyDescent="0.25">
      <c r="A474" s="2" t="s">
        <v>211</v>
      </c>
    </row>
    <row r="476" spans="1:13" x14ac:dyDescent="0.25">
      <c r="A476" t="s">
        <v>212</v>
      </c>
    </row>
    <row r="478" spans="1:13" x14ac:dyDescent="0.25">
      <c r="A478" t="s">
        <v>213</v>
      </c>
    </row>
    <row r="479" spans="1:13" x14ac:dyDescent="0.25">
      <c r="A479" t="s">
        <v>200</v>
      </c>
      <c r="B479">
        <v>600</v>
      </c>
      <c r="M479">
        <v>400.75</v>
      </c>
    </row>
    <row r="480" spans="1:13" x14ac:dyDescent="0.25">
      <c r="A480" t="s">
        <v>111</v>
      </c>
      <c r="B480">
        <v>225</v>
      </c>
      <c r="M480">
        <v>450.12</v>
      </c>
    </row>
    <row r="481" spans="1:13" x14ac:dyDescent="0.25">
      <c r="A481" t="s">
        <v>214</v>
      </c>
      <c r="B481">
        <v>600</v>
      </c>
      <c r="M481">
        <f>SUM(M479:M480)</f>
        <v>850.87</v>
      </c>
    </row>
    <row r="482" spans="1:13" x14ac:dyDescent="0.25">
      <c r="A482" t="s">
        <v>215</v>
      </c>
      <c r="B482">
        <v>100</v>
      </c>
    </row>
    <row r="483" spans="1:13" x14ac:dyDescent="0.25">
      <c r="A483" t="s">
        <v>8</v>
      </c>
      <c r="B483">
        <v>50</v>
      </c>
    </row>
    <row r="484" spans="1:13" x14ac:dyDescent="0.25">
      <c r="B484">
        <f>SUM(B479:B483)</f>
        <v>1575</v>
      </c>
      <c r="D484" s="2">
        <f>(B484*2)</f>
        <v>3150</v>
      </c>
      <c r="F484">
        <f>(D484*121%)</f>
        <v>3811.5</v>
      </c>
    </row>
    <row r="489" spans="1:13" x14ac:dyDescent="0.25">
      <c r="A489" s="10" t="s">
        <v>216</v>
      </c>
    </row>
    <row r="490" spans="1:13" x14ac:dyDescent="0.25">
      <c r="A490" t="s">
        <v>217</v>
      </c>
    </row>
    <row r="492" spans="1:13" x14ac:dyDescent="0.25">
      <c r="A492" t="s">
        <v>111</v>
      </c>
      <c r="B492">
        <v>200</v>
      </c>
    </row>
    <row r="493" spans="1:13" x14ac:dyDescent="0.25">
      <c r="A493" t="s">
        <v>25</v>
      </c>
      <c r="B493">
        <v>40</v>
      </c>
    </row>
    <row r="494" spans="1:13" x14ac:dyDescent="0.25">
      <c r="A494" t="s">
        <v>64</v>
      </c>
      <c r="B494">
        <f>(16*35)</f>
        <v>560</v>
      </c>
    </row>
    <row r="495" spans="1:13" x14ac:dyDescent="0.25">
      <c r="A495" t="s">
        <v>218</v>
      </c>
      <c r="B495">
        <v>300</v>
      </c>
    </row>
    <row r="496" spans="1:13" x14ac:dyDescent="0.25">
      <c r="A496" t="s">
        <v>219</v>
      </c>
      <c r="B496">
        <v>50</v>
      </c>
    </row>
    <row r="497" spans="1:8" x14ac:dyDescent="0.25">
      <c r="B497">
        <f>SUM(B492:B496)</f>
        <v>1150</v>
      </c>
      <c r="D497">
        <f>(B497*2)</f>
        <v>2300</v>
      </c>
    </row>
    <row r="499" spans="1:8" x14ac:dyDescent="0.25">
      <c r="A499" t="s">
        <v>220</v>
      </c>
      <c r="D499">
        <v>180</v>
      </c>
    </row>
    <row r="506" spans="1:8" x14ac:dyDescent="0.25">
      <c r="A506" s="2" t="s">
        <v>221</v>
      </c>
      <c r="F506">
        <f>(E506*115%)</f>
        <v>0</v>
      </c>
      <c r="H506" t="s">
        <v>222</v>
      </c>
    </row>
    <row r="515" spans="1:10" x14ac:dyDescent="0.25">
      <c r="A515" s="2" t="s">
        <v>223</v>
      </c>
    </row>
    <row r="516" spans="1:10" x14ac:dyDescent="0.25">
      <c r="A516" t="s">
        <v>224</v>
      </c>
      <c r="F516" s="2">
        <v>1580</v>
      </c>
    </row>
    <row r="517" spans="1:10" x14ac:dyDescent="0.25">
      <c r="A517" t="s">
        <v>225</v>
      </c>
    </row>
    <row r="520" spans="1:10" x14ac:dyDescent="0.25">
      <c r="A520" s="2" t="s">
        <v>226</v>
      </c>
      <c r="C520" t="s">
        <v>227</v>
      </c>
      <c r="F520" s="2">
        <v>280</v>
      </c>
      <c r="I520">
        <v>250</v>
      </c>
      <c r="J520" s="10" t="s">
        <v>228</v>
      </c>
    </row>
    <row r="521" spans="1:10" x14ac:dyDescent="0.25">
      <c r="A521" t="s">
        <v>229</v>
      </c>
    </row>
    <row r="522" spans="1:10" x14ac:dyDescent="0.25">
      <c r="A522" t="s">
        <v>230</v>
      </c>
    </row>
    <row r="524" spans="1:10" x14ac:dyDescent="0.25">
      <c r="A524" t="s">
        <v>231</v>
      </c>
      <c r="C524">
        <f>(150/4)</f>
        <v>37.5</v>
      </c>
      <c r="D524" s="10" t="s">
        <v>232</v>
      </c>
    </row>
    <row r="525" spans="1:10" x14ac:dyDescent="0.25">
      <c r="A525" t="s">
        <v>78</v>
      </c>
      <c r="C525">
        <v>50</v>
      </c>
      <c r="D525" s="10" t="s">
        <v>233</v>
      </c>
    </row>
    <row r="526" spans="1:10" x14ac:dyDescent="0.25">
      <c r="A526" t="s">
        <v>64</v>
      </c>
      <c r="C526">
        <v>30</v>
      </c>
    </row>
    <row r="527" spans="1:10" x14ac:dyDescent="0.25">
      <c r="A527" t="s">
        <v>219</v>
      </c>
      <c r="C527">
        <v>10</v>
      </c>
    </row>
    <row r="528" spans="1:10" x14ac:dyDescent="0.25">
      <c r="C528">
        <f>SUM(C524:C527)</f>
        <v>127.5</v>
      </c>
      <c r="E528">
        <f>(C528*2)</f>
        <v>255</v>
      </c>
    </row>
    <row r="530" spans="1:11" x14ac:dyDescent="0.25">
      <c r="A530" s="2" t="s">
        <v>234</v>
      </c>
      <c r="C530">
        <f>(I530*115%)</f>
        <v>994.74999999999989</v>
      </c>
      <c r="D530">
        <v>140</v>
      </c>
      <c r="I530">
        <v>865</v>
      </c>
      <c r="J530">
        <v>2023</v>
      </c>
      <c r="K530" t="s">
        <v>235</v>
      </c>
    </row>
    <row r="531" spans="1:11" x14ac:dyDescent="0.25">
      <c r="A531" t="s">
        <v>236</v>
      </c>
      <c r="C531">
        <f>(D531*C530)/D530</f>
        <v>852.642857142857</v>
      </c>
      <c r="D531">
        <v>120</v>
      </c>
    </row>
    <row r="532" spans="1:11" x14ac:dyDescent="0.25">
      <c r="F532" s="2">
        <v>870</v>
      </c>
    </row>
    <row r="534" spans="1:11" x14ac:dyDescent="0.25">
      <c r="A534" s="2" t="s">
        <v>237</v>
      </c>
    </row>
    <row r="535" spans="1:11" x14ac:dyDescent="0.25">
      <c r="A535" s="2" t="s">
        <v>238</v>
      </c>
    </row>
    <row r="536" spans="1:11" x14ac:dyDescent="0.25">
      <c r="A536" t="s">
        <v>239</v>
      </c>
    </row>
    <row r="538" spans="1:11" x14ac:dyDescent="0.25">
      <c r="A538" t="s">
        <v>111</v>
      </c>
      <c r="B538">
        <v>350</v>
      </c>
    </row>
    <row r="539" spans="1:11" x14ac:dyDescent="0.25">
      <c r="A539" t="s">
        <v>64</v>
      </c>
      <c r="B539">
        <f>(14*32)</f>
        <v>448</v>
      </c>
    </row>
    <row r="540" spans="1:11" x14ac:dyDescent="0.25">
      <c r="A540" t="s">
        <v>240</v>
      </c>
      <c r="B540">
        <v>35</v>
      </c>
    </row>
    <row r="541" spans="1:11" x14ac:dyDescent="0.25">
      <c r="A541" t="s">
        <v>219</v>
      </c>
      <c r="B541">
        <v>20</v>
      </c>
    </row>
    <row r="542" spans="1:11" x14ac:dyDescent="0.25">
      <c r="A542" t="s">
        <v>241</v>
      </c>
      <c r="B542">
        <v>15</v>
      </c>
    </row>
    <row r="543" spans="1:11" x14ac:dyDescent="0.25">
      <c r="B543">
        <f>SUM(B538:B542)</f>
        <v>868</v>
      </c>
      <c r="D543">
        <f>(B543*2)</f>
        <v>1736</v>
      </c>
      <c r="F543" s="2">
        <v>1750</v>
      </c>
    </row>
    <row r="547" spans="1:5" x14ac:dyDescent="0.25">
      <c r="A547" s="10" t="s">
        <v>242</v>
      </c>
    </row>
    <row r="548" spans="1:5" x14ac:dyDescent="0.25">
      <c r="A548" s="10" t="s">
        <v>243</v>
      </c>
    </row>
    <row r="549" spans="1:5" x14ac:dyDescent="0.25">
      <c r="A549" s="10" t="s">
        <v>244</v>
      </c>
    </row>
    <row r="550" spans="1:5" x14ac:dyDescent="0.25">
      <c r="A550" t="s">
        <v>245</v>
      </c>
      <c r="B550">
        <v>70</v>
      </c>
    </row>
    <row r="551" spans="1:5" x14ac:dyDescent="0.25">
      <c r="A551" t="s">
        <v>246</v>
      </c>
      <c r="B551">
        <f>(8*30)</f>
        <v>240</v>
      </c>
    </row>
    <row r="552" spans="1:5" x14ac:dyDescent="0.25">
      <c r="A552" t="s">
        <v>247</v>
      </c>
      <c r="B552">
        <v>25</v>
      </c>
    </row>
    <row r="553" spans="1:5" x14ac:dyDescent="0.25">
      <c r="A553" t="s">
        <v>25</v>
      </c>
      <c r="B553">
        <v>20</v>
      </c>
    </row>
    <row r="554" spans="1:5" x14ac:dyDescent="0.25">
      <c r="A554" t="s">
        <v>248</v>
      </c>
      <c r="B554">
        <v>15</v>
      </c>
    </row>
    <row r="555" spans="1:5" x14ac:dyDescent="0.25">
      <c r="A555" t="s">
        <v>249</v>
      </c>
      <c r="B555">
        <v>15</v>
      </c>
    </row>
    <row r="556" spans="1:5" x14ac:dyDescent="0.25">
      <c r="B556">
        <f>SUM(B550:B555)</f>
        <v>385</v>
      </c>
      <c r="E556" s="2">
        <v>780</v>
      </c>
    </row>
    <row r="559" spans="1:5" x14ac:dyDescent="0.25">
      <c r="A559" s="2" t="s">
        <v>250</v>
      </c>
      <c r="E559" s="2">
        <v>350</v>
      </c>
    </row>
    <row r="560" spans="1:5" x14ac:dyDescent="0.25">
      <c r="A560" t="s">
        <v>251</v>
      </c>
    </row>
    <row r="564" spans="1:5" x14ac:dyDescent="0.25">
      <c r="A564" t="s">
        <v>252</v>
      </c>
      <c r="C564">
        <v>120</v>
      </c>
      <c r="E564" t="s">
        <v>253</v>
      </c>
    </row>
    <row r="565" spans="1:5" x14ac:dyDescent="0.25">
      <c r="C565">
        <f>(280-120)</f>
        <v>160</v>
      </c>
    </row>
    <row r="566" spans="1:5" x14ac:dyDescent="0.25">
      <c r="C566" s="10">
        <f>SUM(C564:C565)</f>
        <v>280</v>
      </c>
    </row>
    <row r="569" spans="1:5" ht="26.25" x14ac:dyDescent="0.4">
      <c r="A569" s="12">
        <v>2026</v>
      </c>
    </row>
    <row r="571" spans="1:5" x14ac:dyDescent="0.25">
      <c r="A571" s="2" t="s">
        <v>237</v>
      </c>
    </row>
    <row r="572" spans="1:5" x14ac:dyDescent="0.25">
      <c r="A572" s="2" t="s">
        <v>254</v>
      </c>
    </row>
    <row r="573" spans="1:5" x14ac:dyDescent="0.25">
      <c r="A573" t="s">
        <v>255</v>
      </c>
    </row>
    <row r="575" spans="1:5" x14ac:dyDescent="0.25">
      <c r="A575" t="s">
        <v>256</v>
      </c>
      <c r="B575">
        <v>100</v>
      </c>
    </row>
    <row r="576" spans="1:5" x14ac:dyDescent="0.25">
      <c r="A576" t="s">
        <v>64</v>
      </c>
      <c r="B576">
        <v>90</v>
      </c>
    </row>
    <row r="577" spans="1:6" x14ac:dyDescent="0.25">
      <c r="A577" t="s">
        <v>240</v>
      </c>
      <c r="B577">
        <v>15</v>
      </c>
    </row>
    <row r="578" spans="1:6" x14ac:dyDescent="0.25">
      <c r="A578" t="s">
        <v>219</v>
      </c>
      <c r="B578">
        <v>10</v>
      </c>
    </row>
    <row r="579" spans="1:6" x14ac:dyDescent="0.25">
      <c r="A579" t="s">
        <v>241</v>
      </c>
    </row>
    <row r="580" spans="1:6" x14ac:dyDescent="0.25">
      <c r="B580">
        <f>SUM(B575:B579)</f>
        <v>215</v>
      </c>
      <c r="D580">
        <f>(B580*2)</f>
        <v>430</v>
      </c>
      <c r="F580" s="2">
        <v>730</v>
      </c>
    </row>
    <row r="582" spans="1:6" x14ac:dyDescent="0.25">
      <c r="A582" t="s">
        <v>257</v>
      </c>
      <c r="D582">
        <v>300</v>
      </c>
    </row>
    <row r="583" spans="1:6" x14ac:dyDescent="0.25">
      <c r="A583" t="s">
        <v>258</v>
      </c>
    </row>
    <row r="585" spans="1:6" x14ac:dyDescent="0.25">
      <c r="A585" s="2" t="s">
        <v>259</v>
      </c>
    </row>
    <row r="586" spans="1:6" x14ac:dyDescent="0.25">
      <c r="A586" t="s">
        <v>260</v>
      </c>
    </row>
    <row r="587" spans="1:6" x14ac:dyDescent="0.25">
      <c r="A587" t="s">
        <v>261</v>
      </c>
    </row>
    <row r="590" spans="1:6" x14ac:dyDescent="0.25">
      <c r="A590" t="s">
        <v>262</v>
      </c>
      <c r="B590">
        <v>325</v>
      </c>
    </row>
    <row r="591" spans="1:6" x14ac:dyDescent="0.25">
      <c r="A591" t="s">
        <v>263</v>
      </c>
      <c r="B591">
        <v>200</v>
      </c>
    </row>
    <row r="592" spans="1:6" x14ac:dyDescent="0.25">
      <c r="A592" t="s">
        <v>240</v>
      </c>
      <c r="B592">
        <v>25</v>
      </c>
    </row>
    <row r="593" spans="1:4" x14ac:dyDescent="0.25">
      <c r="A593" t="s">
        <v>219</v>
      </c>
      <c r="B593">
        <v>20</v>
      </c>
    </row>
    <row r="594" spans="1:4" x14ac:dyDescent="0.25">
      <c r="B594">
        <f>SUM(B590:B593)</f>
        <v>570</v>
      </c>
      <c r="D594">
        <v>1250</v>
      </c>
    </row>
    <row r="598" spans="1:4" x14ac:dyDescent="0.25">
      <c r="A598" t="s">
        <v>264</v>
      </c>
    </row>
    <row r="599" spans="1:4" x14ac:dyDescent="0.25">
      <c r="A599" t="s">
        <v>111</v>
      </c>
      <c r="B599">
        <v>60</v>
      </c>
    </row>
    <row r="600" spans="1:4" x14ac:dyDescent="0.25">
      <c r="A600" t="s">
        <v>264</v>
      </c>
      <c r="B600">
        <v>80</v>
      </c>
    </row>
    <row r="601" spans="1:4" x14ac:dyDescent="0.25">
      <c r="A601" t="s">
        <v>265</v>
      </c>
      <c r="B601">
        <f>(8*40)</f>
        <v>320</v>
      </c>
    </row>
    <row r="602" spans="1:4" x14ac:dyDescent="0.25">
      <c r="A602" t="s">
        <v>240</v>
      </c>
      <c r="B602">
        <v>25</v>
      </c>
    </row>
    <row r="603" spans="1:4" x14ac:dyDescent="0.25">
      <c r="A603" t="s">
        <v>219</v>
      </c>
      <c r="B603">
        <v>20</v>
      </c>
    </row>
    <row r="604" spans="1:4" x14ac:dyDescent="0.25">
      <c r="B604">
        <f>SUM(B599:B603)</f>
        <v>505</v>
      </c>
      <c r="D604">
        <v>1050</v>
      </c>
    </row>
    <row r="607" spans="1:4" x14ac:dyDescent="0.25">
      <c r="A607" s="2" t="s">
        <v>268</v>
      </c>
      <c r="D607">
        <v>620</v>
      </c>
    </row>
    <row r="608" spans="1:4" x14ac:dyDescent="0.25">
      <c r="A608" t="s">
        <v>267</v>
      </c>
    </row>
    <row r="613" spans="1:5" x14ac:dyDescent="0.25">
      <c r="A613" s="2" t="s">
        <v>270</v>
      </c>
      <c r="D613">
        <v>690</v>
      </c>
      <c r="E613">
        <v>720</v>
      </c>
    </row>
    <row r="614" spans="1:5" x14ac:dyDescent="0.25">
      <c r="A614" t="s">
        <v>269</v>
      </c>
    </row>
    <row r="615" spans="1:5" x14ac:dyDescent="0.25">
      <c r="A615" t="s">
        <v>273</v>
      </c>
      <c r="D615">
        <f>(1.3*1.2)*350</f>
        <v>546</v>
      </c>
    </row>
    <row r="616" spans="1:5" x14ac:dyDescent="0.25">
      <c r="A616" t="s">
        <v>274</v>
      </c>
    </row>
    <row r="617" spans="1:5" x14ac:dyDescent="0.25">
      <c r="A617" t="s">
        <v>272</v>
      </c>
    </row>
    <row r="618" spans="1:5" x14ac:dyDescent="0.25">
      <c r="A618">
        <v>85</v>
      </c>
      <c r="B618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CAESPAN ARGUMENT SL</dc:creator>
  <cp:lastModifiedBy>CAESPAN ARGUMENT SL</cp:lastModifiedBy>
  <dcterms:created xsi:type="dcterms:W3CDTF">2026-02-23T17:56:09Z</dcterms:created>
  <dcterms:modified xsi:type="dcterms:W3CDTF">2026-02-24T18:10:50Z</dcterms:modified>
</cp:coreProperties>
</file>